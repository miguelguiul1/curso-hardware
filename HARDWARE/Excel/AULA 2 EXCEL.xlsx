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42562919890\Desktop\HARDWARE\"/>
    </mc:Choice>
  </mc:AlternateContent>
  <xr:revisionPtr revIDLastSave="0" documentId="13_ncr:1_{8C6E1137-BEC8-40E0-90F2-23051A54A409}" xr6:coauthVersionLast="47" xr6:coauthVersionMax="47" xr10:uidLastSave="{00000000-0000-0000-0000-000000000000}"/>
  <bookViews>
    <workbookView xWindow="-120" yWindow="-120" windowWidth="19440" windowHeight="15000" firstSheet="6" activeTab="8" xr2:uid="{F851BF0F-20B8-47AF-96CB-EE1B0E437F00}"/>
  </bookViews>
  <sheets>
    <sheet name="EXEMPLO GUIADO" sheetId="1" r:id="rId1"/>
    <sheet name="MÉDIA ESCOLAR" sheetId="2" r:id="rId2"/>
    <sheet name="CONTROLE DE VENDAS" sheetId="3" r:id="rId3"/>
    <sheet name="TEMPERATURA DA SEMANA" sheetId="4" r:id="rId4"/>
    <sheet name="CONTROLE DE GASTOS" sheetId="5" r:id="rId5"/>
    <sheet name="SITUAÇÕES PROBLEMA" sheetId="6" r:id="rId6"/>
    <sheet name="DESAFIO DE FORMATAÇÃO" sheetId="7" r:id="rId7"/>
    <sheet name="QUESTIONÁRIO TEÓRICO" sheetId="8" r:id="rId8"/>
    <sheet name="DESAFIO FINAL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9" l="1"/>
  <c r="G9" i="9"/>
  <c r="G8" i="9"/>
  <c r="G4" i="9"/>
  <c r="G5" i="9"/>
  <c r="G6" i="9"/>
  <c r="G7" i="9"/>
  <c r="C31" i="6"/>
  <c r="C30" i="6"/>
  <c r="C29" i="6"/>
  <c r="D19" i="6"/>
  <c r="D18" i="6"/>
  <c r="D17" i="6"/>
  <c r="C9" i="6"/>
  <c r="C8" i="6"/>
  <c r="C7" i="6"/>
  <c r="E14" i="5"/>
  <c r="E13" i="5"/>
  <c r="B10" i="5"/>
  <c r="B12" i="5"/>
  <c r="B11" i="5"/>
  <c r="C12" i="4"/>
  <c r="C11" i="4"/>
  <c r="C10" i="4"/>
  <c r="F11" i="3"/>
  <c r="F10" i="3"/>
  <c r="F9" i="3"/>
  <c r="F8" i="3"/>
  <c r="F3" i="3"/>
  <c r="F4" i="3"/>
  <c r="F5" i="3"/>
  <c r="F6" i="3"/>
  <c r="F2" i="3"/>
  <c r="F10" i="2"/>
  <c r="F9" i="2"/>
  <c r="F3" i="2"/>
  <c r="F4" i="2"/>
  <c r="F5" i="2"/>
  <c r="F6" i="2"/>
  <c r="F7" i="2"/>
  <c r="F2" i="2"/>
  <c r="F11" i="2" s="1"/>
  <c r="E6" i="1"/>
  <c r="E9" i="1"/>
  <c r="E8" i="1"/>
  <c r="E5" i="1"/>
  <c r="E3" i="1"/>
  <c r="E4" i="1"/>
  <c r="E2" i="1"/>
  <c r="F12" i="2" l="1"/>
</calcChain>
</file>

<file path=xl/sharedStrings.xml><?xml version="1.0" encoding="utf-8"?>
<sst xmlns="http://schemas.openxmlformats.org/spreadsheetml/2006/main" count="192" uniqueCount="147">
  <si>
    <t>Média</t>
  </si>
  <si>
    <t>Nota 3</t>
  </si>
  <si>
    <t>Nota 2</t>
  </si>
  <si>
    <t>Nota 1</t>
  </si>
  <si>
    <t>Aluno</t>
  </si>
  <si>
    <t xml:space="preserve">Ana </t>
  </si>
  <si>
    <t xml:space="preserve">Bruno </t>
  </si>
  <si>
    <t xml:space="preserve">Carlos </t>
  </si>
  <si>
    <t xml:space="preserve">Eduardo </t>
  </si>
  <si>
    <t xml:space="preserve">Daniela </t>
  </si>
  <si>
    <t>Maior nota da turma</t>
  </si>
  <si>
    <t>Menor nota da turma</t>
  </si>
  <si>
    <t>Português</t>
  </si>
  <si>
    <t>Matemática</t>
  </si>
  <si>
    <t>Ciências</t>
  </si>
  <si>
    <t>História</t>
  </si>
  <si>
    <t>João</t>
  </si>
  <si>
    <t>Maria</t>
  </si>
  <si>
    <t>Pedro</t>
  </si>
  <si>
    <t>Julia</t>
  </si>
  <si>
    <t>Marcos</t>
  </si>
  <si>
    <t>Fernanda</t>
  </si>
  <si>
    <t>A maior nota da tabela</t>
  </si>
  <si>
    <t>A menor nota da tabela</t>
  </si>
  <si>
    <t>Maior média</t>
  </si>
  <si>
    <t>Médias acima de 8 em verde</t>
  </si>
  <si>
    <t>Quem teve melhor desempenho?</t>
  </si>
  <si>
    <t>Menor média</t>
  </si>
  <si>
    <t>Médias abaixo de 6 em vermelho</t>
  </si>
  <si>
    <t>Quem teve pior desempenho?</t>
  </si>
  <si>
    <t>Funcionário</t>
  </si>
  <si>
    <t>Janeiro</t>
  </si>
  <si>
    <t>Fevereiro</t>
  </si>
  <si>
    <t>Março</t>
  </si>
  <si>
    <t>Abril</t>
  </si>
  <si>
    <t>Carlos</t>
  </si>
  <si>
    <t>Paula</t>
  </si>
  <si>
    <t>Renato</t>
  </si>
  <si>
    <t>Amanda</t>
  </si>
  <si>
    <t>Diego</t>
  </si>
  <si>
    <t>Maior venda registrada</t>
  </si>
  <si>
    <t>Qual funcionário teve a maior média</t>
  </si>
  <si>
    <t>Valores em moeda (R$)</t>
  </si>
  <si>
    <t>Crie um gráfico de colunas mostrando as médias.</t>
  </si>
  <si>
    <t>Qual funcionário teve a menor média</t>
  </si>
  <si>
    <t>Menor venda registrada</t>
  </si>
  <si>
    <t>Cabeçalho colorido</t>
  </si>
  <si>
    <t>Bordas completas</t>
  </si>
  <si>
    <t>👍</t>
  </si>
  <si>
    <t>Dia</t>
  </si>
  <si>
    <t>Temperatura</t>
  </si>
  <si>
    <t>Segunda</t>
  </si>
  <si>
    <t>Terça</t>
  </si>
  <si>
    <t>Quarta</t>
  </si>
  <si>
    <t>Quinta</t>
  </si>
  <si>
    <t>Sexta</t>
  </si>
  <si>
    <t>Sábado</t>
  </si>
  <si>
    <t>Domingo</t>
  </si>
  <si>
    <t>Média da semana</t>
  </si>
  <si>
    <t>Qual foi o dia mais quente?</t>
  </si>
  <si>
    <t>Crie um gráfico de linhas.</t>
  </si>
  <si>
    <t>Qual foi o dia mais frio?</t>
  </si>
  <si>
    <t>Temperatura mínima</t>
  </si>
  <si>
    <t>Temperatura máxima</t>
  </si>
  <si>
    <t>Categoria</t>
  </si>
  <si>
    <t>Água</t>
  </si>
  <si>
    <t>Energia</t>
  </si>
  <si>
    <t>Internet</t>
  </si>
  <si>
    <t>Mercado</t>
  </si>
  <si>
    <t>Transporte</t>
  </si>
  <si>
    <t>Calcule a média de gastos de cada categoria.</t>
  </si>
  <si>
    <t>Qual categoria teve maior média de despesas?</t>
  </si>
  <si>
    <t>Crie um gráfico de pizza.</t>
  </si>
  <si>
    <t>Maior gasto.</t>
  </si>
  <si>
    <t>Menor gasto.</t>
  </si>
  <si>
    <t>Mês</t>
  </si>
  <si>
    <t>Um aluno tirou:</t>
  </si>
  <si>
    <t>Menor nota</t>
  </si>
  <si>
    <t>Maior nota</t>
  </si>
  <si>
    <t>Uma empresa faturou:</t>
  </si>
  <si>
    <t>Calcule:</t>
  </si>
  <si>
    <t>Maior faturamento</t>
  </si>
  <si>
    <t>Menor faturamento</t>
  </si>
  <si>
    <t>Um atleta marcou:</t>
  </si>
  <si>
    <t>Gols</t>
  </si>
  <si>
    <t>Média de gols</t>
  </si>
  <si>
    <t>Maior número de gols</t>
  </si>
  <si>
    <t>Menor número de gols</t>
  </si>
  <si>
    <t>Título centralizado</t>
  </si>
  <si>
    <t>Fonte tamanho 12</t>
  </si>
  <si>
    <t>Bordas em todas as tabelas</t>
  </si>
  <si>
    <t>Aplicar negrito nos títulos</t>
  </si>
  <si>
    <t>Ajuste automático das colunas</t>
  </si>
  <si>
    <t>Produto</t>
  </si>
  <si>
    <t>Maio</t>
  </si>
  <si>
    <t>Junho</t>
  </si>
  <si>
    <t>Produto A</t>
  </si>
  <si>
    <t>Produto B</t>
  </si>
  <si>
    <t>Produto C</t>
  </si>
  <si>
    <t>Produto D</t>
  </si>
  <si>
    <t>Produto E</t>
  </si>
  <si>
    <t>Produto F</t>
  </si>
  <si>
    <t>Produto G</t>
  </si>
  <si>
    <t>Produto H</t>
  </si>
  <si>
    <t>DESAFIO DE FORMATAÇÃO</t>
  </si>
  <si>
    <t>1.</t>
  </si>
  <si>
    <t>Para que serve a função MÉDIA?</t>
  </si>
  <si>
    <t>2.</t>
  </si>
  <si>
    <t>Qual função mostra o maior valor?</t>
  </si>
  <si>
    <t>3.</t>
  </si>
  <si>
    <t>Qual função mostra o menor valor?</t>
  </si>
  <si>
    <t>4.</t>
  </si>
  <si>
    <t>Qual símbolo inicia fórmulas no Excel?</t>
  </si>
  <si>
    <t>5.</t>
  </si>
  <si>
    <t>Explique:</t>
  </si>
  <si>
    <t>6.</t>
  </si>
  <si>
    <t>7.</t>
  </si>
  <si>
    <t>Qual a vantagem de usar fórmulas automáticas?</t>
  </si>
  <si>
    <t>.=MÍNIMO(B2:B15)</t>
  </si>
  <si>
    <t>.=MÁXIMO(A1:A10)</t>
  </si>
  <si>
    <t>=</t>
  </si>
  <si>
    <t>.=MÍNIMO(intervalo)</t>
  </si>
  <si>
    <t>.=MÁXIMO(intervalo)</t>
  </si>
  <si>
    <t>Para calcular a média.</t>
  </si>
  <si>
    <t>Vai identificar o maior valor entre o intervalo de célular A1 ao A10</t>
  </si>
  <si>
    <t>Rápidez e praticidade</t>
  </si>
  <si>
    <t>Cleyton Junior</t>
  </si>
  <si>
    <t>Robson Agudo</t>
  </si>
  <si>
    <t>Roberto Gil</t>
  </si>
  <si>
    <t>Jaison Agustinho</t>
  </si>
  <si>
    <t>Gustavo Pinto</t>
  </si>
  <si>
    <t>Comportamento</t>
  </si>
  <si>
    <t>MÉDIA ANUAL</t>
  </si>
  <si>
    <t>2° Trimestre</t>
  </si>
  <si>
    <t>1° Trimestre</t>
  </si>
  <si>
    <t>Esportes</t>
  </si>
  <si>
    <t>Nome</t>
  </si>
  <si>
    <t>5 valores numéricos</t>
  </si>
  <si>
    <t>Média automática</t>
  </si>
  <si>
    <t>Maior valor automático</t>
  </si>
  <si>
    <t>Menor valor automático</t>
  </si>
  <si>
    <t>Gráfico</t>
  </si>
  <si>
    <t>Formatação profissional</t>
  </si>
  <si>
    <t>Maior Média</t>
  </si>
  <si>
    <t>Menos Média</t>
  </si>
  <si>
    <t>3° Trimestre</t>
  </si>
  <si>
    <t>Dependo de quem vê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</si>
</sst>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"/>
    <numFmt numFmtId="165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rgb="FFFFFF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gradientFill type="path" left="0.5" right="0.5" top="0.5" bottom="0.5">
        <stop position="0">
          <color theme="0"/>
        </stop>
        <stop position="1">
          <color rgb="FFA54BBD"/>
        </stop>
      </gradientFill>
    </fill>
    <fill>
      <patternFill patternType="solid">
        <fgColor theme="9" tint="-0.499984740745262"/>
        <bgColor indexed="64"/>
      </patternFill>
    </fill>
    <fill>
      <gradientFill degree="180">
        <stop position="0">
          <color rgb="FFFF99FF"/>
        </stop>
        <stop position="1">
          <color rgb="FF66FF99"/>
        </stop>
      </gradientFill>
    </fill>
    <fill>
      <patternFill patternType="solid">
        <fgColor rgb="FFABABAB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0" fontId="2" fillId="2" borderId="4" xfId="0" applyFont="1" applyFill="1" applyBorder="1"/>
    <xf numFmtId="0" fontId="2" fillId="2" borderId="5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4" fillId="2" borderId="2" xfId="0" applyFont="1" applyFill="1" applyBorder="1"/>
    <xf numFmtId="0" fontId="4" fillId="2" borderId="3" xfId="0" applyFont="1" applyFill="1" applyBorder="1"/>
    <xf numFmtId="0" fontId="4" fillId="2" borderId="1" xfId="0" applyFont="1" applyFill="1" applyBorder="1"/>
    <xf numFmtId="0" fontId="4" fillId="2" borderId="4" xfId="0" applyFont="1" applyFill="1" applyBorder="1"/>
    <xf numFmtId="0" fontId="4" fillId="2" borderId="12" xfId="0" applyFont="1" applyFill="1" applyBorder="1"/>
    <xf numFmtId="0" fontId="4" fillId="2" borderId="5" xfId="0" applyFont="1" applyFill="1" applyBorder="1"/>
    <xf numFmtId="164" fontId="0" fillId="0" borderId="1" xfId="0" applyNumberFormat="1" applyBorder="1"/>
    <xf numFmtId="0" fontId="6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4" fillId="2" borderId="0" xfId="0" applyFont="1" applyFill="1"/>
    <xf numFmtId="165" fontId="0" fillId="0" borderId="1" xfId="0" applyNumberFormat="1" applyBorder="1" applyAlignment="1">
      <alignment vertical="center" wrapText="1"/>
    </xf>
    <xf numFmtId="165" fontId="4" fillId="2" borderId="0" xfId="0" applyNumberFormat="1" applyFont="1" applyFill="1"/>
    <xf numFmtId="165" fontId="0" fillId="0" borderId="0" xfId="0" applyNumberFormat="1"/>
    <xf numFmtId="1" fontId="0" fillId="0" borderId="1" xfId="0" applyNumberFormat="1" applyBorder="1"/>
    <xf numFmtId="0" fontId="7" fillId="2" borderId="0" xfId="0" applyFont="1" applyFill="1"/>
    <xf numFmtId="0" fontId="3" fillId="5" borderId="1" xfId="0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/>
    <xf numFmtId="44" fontId="0" fillId="0" borderId="0" xfId="1" applyFont="1"/>
    <xf numFmtId="165" fontId="0" fillId="0" borderId="0" xfId="1" applyNumberFormat="1" applyFont="1"/>
    <xf numFmtId="165" fontId="3" fillId="0" borderId="1" xfId="1" applyNumberFormat="1" applyFont="1" applyBorder="1" applyAlignment="1">
      <alignment horizontal="center" vertical="center" wrapText="1"/>
    </xf>
    <xf numFmtId="165" fontId="0" fillId="0" borderId="1" xfId="1" applyNumberFormat="1" applyFont="1" applyBorder="1" applyAlignment="1">
      <alignment vertical="center" wrapText="1"/>
    </xf>
    <xf numFmtId="165" fontId="4" fillId="2" borderId="17" xfId="0" applyNumberFormat="1" applyFont="1" applyFill="1" applyBorder="1"/>
    <xf numFmtId="165" fontId="4" fillId="2" borderId="18" xfId="0" applyNumberFormat="1" applyFont="1" applyFill="1" applyBorder="1"/>
    <xf numFmtId="0" fontId="4" fillId="2" borderId="18" xfId="0" applyFont="1" applyFill="1" applyBorder="1"/>
    <xf numFmtId="0" fontId="4" fillId="2" borderId="20" xfId="0" applyFont="1" applyFill="1" applyBorder="1"/>
    <xf numFmtId="165" fontId="3" fillId="0" borderId="1" xfId="0" applyNumberFormat="1" applyFont="1" applyBorder="1"/>
    <xf numFmtId="165" fontId="0" fillId="0" borderId="1" xfId="1" applyNumberFormat="1" applyFont="1" applyBorder="1"/>
    <xf numFmtId="44" fontId="0" fillId="0" borderId="1" xfId="1" applyFont="1" applyBorder="1"/>
    <xf numFmtId="44" fontId="4" fillId="2" borderId="0" xfId="1" applyFont="1" applyFill="1"/>
    <xf numFmtId="0" fontId="8" fillId="6" borderId="0" xfId="0" applyFont="1" applyFill="1"/>
    <xf numFmtId="44" fontId="6" fillId="0" borderId="1" xfId="1" applyFont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 wrapText="1"/>
    </xf>
    <xf numFmtId="44" fontId="5" fillId="7" borderId="1" xfId="1" applyFont="1" applyFill="1" applyBorder="1" applyAlignment="1">
      <alignment horizontal="center" vertical="center" wrapText="1"/>
    </xf>
    <xf numFmtId="44" fontId="4" fillId="2" borderId="17" xfId="1" applyFont="1" applyFill="1" applyBorder="1"/>
    <xf numFmtId="44" fontId="4" fillId="2" borderId="18" xfId="1" applyFont="1" applyFill="1" applyBorder="1"/>
    <xf numFmtId="44" fontId="4" fillId="2" borderId="20" xfId="1" applyFont="1" applyFill="1" applyBorder="1"/>
    <xf numFmtId="0" fontId="5" fillId="0" borderId="1" xfId="0" applyFont="1" applyBorder="1" applyAlignment="1">
      <alignment vertical="center" wrapText="1"/>
    </xf>
    <xf numFmtId="0" fontId="0" fillId="0" borderId="0" xfId="0"/>
    <xf numFmtId="0" fontId="3" fillId="0" borderId="0" xfId="0" applyFont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4" fillId="2" borderId="9" xfId="0" applyFont="1" applyFill="1" applyBorder="1"/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3" xfId="0" applyFont="1" applyFill="1" applyBorder="1"/>
    <xf numFmtId="0" fontId="4" fillId="2" borderId="14" xfId="0" applyFont="1" applyFill="1" applyBorder="1"/>
    <xf numFmtId="0" fontId="4" fillId="2" borderId="15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4" fillId="2" borderId="0" xfId="0" applyFont="1" applyFill="1"/>
    <xf numFmtId="0" fontId="4" fillId="2" borderId="2" xfId="0" applyFont="1" applyFill="1" applyBorder="1"/>
    <xf numFmtId="0" fontId="4" fillId="2" borderId="3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0" fontId="2" fillId="2" borderId="22" xfId="0" applyFont="1" applyFill="1" applyBorder="1"/>
    <xf numFmtId="0" fontId="2" fillId="2" borderId="19" xfId="0" applyFont="1" applyFill="1" applyBorder="1"/>
    <xf numFmtId="0" fontId="2" fillId="2" borderId="0" xfId="0" applyFont="1" applyFill="1"/>
    <xf numFmtId="0" fontId="2" fillId="2" borderId="21" xfId="0" applyFont="1" applyFill="1" applyBorder="1"/>
    <xf numFmtId="0" fontId="2" fillId="2" borderId="16" xfId="0" applyFont="1" applyFill="1" applyBorder="1"/>
    <xf numFmtId="0" fontId="8" fillId="6" borderId="0" xfId="0" applyFont="1" applyFill="1"/>
    <xf numFmtId="0" fontId="4" fillId="2" borderId="1" xfId="0" applyFont="1" applyFill="1" applyBorder="1"/>
    <xf numFmtId="44" fontId="3" fillId="0" borderId="0" xfId="1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4" fillId="2" borderId="22" xfId="0" applyFont="1" applyFill="1" applyBorder="1"/>
    <xf numFmtId="0" fontId="4" fillId="2" borderId="19" xfId="0" applyFont="1" applyFill="1" applyBorder="1"/>
    <xf numFmtId="0" fontId="4" fillId="2" borderId="21" xfId="0" applyFont="1" applyFill="1" applyBorder="1"/>
    <xf numFmtId="0" fontId="4" fillId="2" borderId="16" xfId="0" applyFont="1" applyFill="1" applyBorder="1"/>
    <xf numFmtId="0" fontId="3" fillId="8" borderId="1" xfId="0" applyFont="1" applyFill="1" applyBorder="1"/>
    <xf numFmtId="0" fontId="3" fillId="0" borderId="0" xfId="0" applyFont="1" applyAlignment="1">
      <alignment horizontal="center" vertical="center"/>
    </xf>
    <xf numFmtId="0" fontId="4" fillId="2" borderId="23" xfId="0" applyFont="1" applyFill="1" applyBorder="1"/>
    <xf numFmtId="0" fontId="4" fillId="2" borderId="24" xfId="0" applyFont="1" applyFill="1" applyBorder="1"/>
    <xf numFmtId="0" fontId="4" fillId="2" borderId="25" xfId="0" applyFont="1" applyFill="1" applyBorder="1"/>
    <xf numFmtId="0" fontId="4" fillId="2" borderId="0" xfId="0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ABABAB"/>
      <color rgb="FF808080"/>
      <color rgb="FF66FF99"/>
      <color rgb="FFFF99FF"/>
      <color rgb="FF09FF38"/>
      <color rgb="FFA54B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'CONTROLE DE VENDAS'!$F$1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'CONTROLE DE VENDAS'!$A$2:$A$6</c:f>
              <c:strCache>
                <c:ptCount val="5"/>
                <c:pt idx="0">
                  <c:v>Carlos</c:v>
                </c:pt>
                <c:pt idx="1">
                  <c:v>Paula</c:v>
                </c:pt>
                <c:pt idx="2">
                  <c:v>Renato</c:v>
                </c:pt>
                <c:pt idx="3">
                  <c:v>Amanda</c:v>
                </c:pt>
                <c:pt idx="4">
                  <c:v>Diego</c:v>
                </c:pt>
              </c:strCache>
            </c:strRef>
          </c:cat>
          <c:val>
            <c:numRef>
              <c:f>'CONTROLE DE VENDAS'!$F$2:$F$6</c:f>
              <c:numCache>
                <c:formatCode>"R$"\ #,##0.00</c:formatCode>
                <c:ptCount val="5"/>
                <c:pt idx="0">
                  <c:v>1550</c:v>
                </c:pt>
                <c:pt idx="1">
                  <c:v>2275</c:v>
                </c:pt>
                <c:pt idx="2">
                  <c:v>987.5</c:v>
                </c:pt>
                <c:pt idx="3">
                  <c:v>3200</c:v>
                </c:pt>
                <c:pt idx="4">
                  <c:v>1512.5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3-43FD-A1EC-7746220F2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1448640"/>
        <c:axId val="691478880"/>
        <c:axId val="0"/>
      </c:bar3DChart>
      <c:catAx>
        <c:axId val="69144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1478880"/>
        <c:crosses val="autoZero"/>
        <c:auto val="1"/>
        <c:lblAlgn val="ctr"/>
        <c:lblOffset val="100"/>
        <c:noMultiLvlLbl val="0"/>
      </c:catAx>
      <c:valAx>
        <c:axId val="69147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144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'TEMPERATURA DA SEMANA'!$B$1</c:f>
              <c:strCache>
                <c:ptCount val="1"/>
                <c:pt idx="0">
                  <c:v>Temperatura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'TEMPERATURA DA SEMANA'!$A$2:$A$8</c:f>
              <c:strCache>
                <c:ptCount val="7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'TEMPERATURA DA SEMANA'!$B$2:$B$8</c:f>
              <c:numCache>
                <c:formatCode>General</c:formatCode>
                <c:ptCount val="7"/>
                <c:pt idx="0">
                  <c:v>28</c:v>
                </c:pt>
                <c:pt idx="1">
                  <c:v>30</c:v>
                </c:pt>
                <c:pt idx="2">
                  <c:v>27</c:v>
                </c:pt>
                <c:pt idx="3">
                  <c:v>31</c:v>
                </c:pt>
                <c:pt idx="4">
                  <c:v>26</c:v>
                </c:pt>
                <c:pt idx="5">
                  <c:v>29</c:v>
                </c:pt>
                <c:pt idx="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53-4835-9C1D-4CD46E977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1452960"/>
        <c:axId val="691455840"/>
      </c:lineChart>
      <c:catAx>
        <c:axId val="69145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1455840"/>
        <c:crosses val="autoZero"/>
        <c:auto val="1"/>
        <c:lblAlgn val="ctr"/>
        <c:lblOffset val="100"/>
        <c:noMultiLvlLbl val="0"/>
      </c:catAx>
      <c:valAx>
        <c:axId val="69145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145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'CONTROLE DE GASTOS'!$B$9</c:f>
              <c:strCache>
                <c:ptCount val="1"/>
                <c:pt idx="0">
                  <c:v>Média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F3-4CDC-BF9A-924B9A61B7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F3-4CDC-BF9A-924B9A61B7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F3-4CDC-BF9A-924B9A61B796}"/>
              </c:ext>
            </c:extLst>
          </c:dPt>
          <c:cat>
            <c:strRef>
              <c:f>'CONTROLE DE GASTOS'!$A$10:$A$12</c:f>
              <c:strCache>
                <c:ptCount val="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</c:strCache>
            </c:strRef>
          </c:cat>
          <c:val>
            <c:numRef>
              <c:f>'CONTROLE DE GASTOS'!$B$10:$B$12</c:f>
              <c:numCache>
                <c:formatCode>"R$"\ #,##0.00</c:formatCode>
                <c:ptCount val="3"/>
                <c:pt idx="0">
                  <c:v>318</c:v>
                </c:pt>
                <c:pt idx="1">
                  <c:v>340</c:v>
                </c:pt>
                <c:pt idx="2">
                  <c:v>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E-412F-A815-9D3BAEBE2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'DESAFIO FINAL'!$G$3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'DESAFIO FINAL'!$A$4:$A$8</c:f>
              <c:strCache>
                <c:ptCount val="5"/>
                <c:pt idx="0">
                  <c:v>Cleyton Junior</c:v>
                </c:pt>
                <c:pt idx="1">
                  <c:v>Robson Agudo</c:v>
                </c:pt>
                <c:pt idx="2">
                  <c:v>Roberto Gil</c:v>
                </c:pt>
                <c:pt idx="3">
                  <c:v>Jaison Agustinho</c:v>
                </c:pt>
                <c:pt idx="4">
                  <c:v>Gustavo Pinto</c:v>
                </c:pt>
              </c:strCache>
            </c:strRef>
          </c:cat>
          <c:val>
            <c:numRef>
              <c:f>'DESAFIO FINAL'!$G$4:$G$8</c:f>
              <c:numCache>
                <c:formatCode>General</c:formatCode>
                <c:ptCount val="5"/>
                <c:pt idx="0">
                  <c:v>7</c:v>
                </c:pt>
                <c:pt idx="1">
                  <c:v>6.4</c:v>
                </c:pt>
                <c:pt idx="2">
                  <c:v>7</c:v>
                </c:pt>
                <c:pt idx="3">
                  <c:v>6.4</c:v>
                </c:pt>
                <c:pt idx="4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4-4355-B5A4-94303A05D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5908544"/>
        <c:axId val="522631840"/>
      </c:barChart>
      <c:catAx>
        <c:axId val="385908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2631840"/>
        <c:crosses val="autoZero"/>
        <c:auto val="1"/>
        <c:lblAlgn val="ctr"/>
        <c:lblOffset val="100"/>
        <c:noMultiLvlLbl val="0"/>
      </c:catAx>
      <c:valAx>
        <c:axId val="52263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5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0</xdr:row>
      <xdr:rowOff>4762</xdr:rowOff>
    </xdr:from>
    <xdr:to>
      <xdr:col>13</xdr:col>
      <xdr:colOff>171449</xdr:colOff>
      <xdr:row>14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817A204-1059-9C96-ABEF-8957FE2FA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23811</xdr:rowOff>
    </xdr:from>
    <xdr:to>
      <xdr:col>10</xdr:col>
      <xdr:colOff>190500</xdr:colOff>
      <xdr:row>15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2C966C-E661-1607-19FC-9C58A31AE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176212</xdr:rowOff>
    </xdr:from>
    <xdr:to>
      <xdr:col>12</xdr:col>
      <xdr:colOff>333375</xdr:colOff>
      <xdr:row>16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6717773-7AFA-B8A4-D08B-74FF8A7C7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752475</xdr:colOff>
      <xdr:row>10</xdr:row>
      <xdr:rowOff>23812</xdr:rowOff>
    </xdr:from>
    <xdr:to>
      <xdr:col>11</xdr:col>
      <xdr:colOff>38100</xdr:colOff>
      <xdr:row>24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300949-7B42-64BA-4A57-CB1D16501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2EF2-8757-4CC3-AD19-9159407641AD}">
  <dimension ref="A1:E9"/>
  <sheetViews>
    <sheetView workbookViewId="0">
      <selection activeCell="G4" sqref="G4"/>
    </sheetView>
  </sheetViews>
  <sheetFormatPr defaultRowHeight="15" x14ac:dyDescent="0.25"/>
  <cols>
    <col min="1" max="1" width="8.7109375" bestFit="1" customWidth="1"/>
    <col min="2" max="5" width="6.7109375" bestFit="1" customWidth="1"/>
  </cols>
  <sheetData>
    <row r="1" spans="1:5" x14ac:dyDescent="0.25">
      <c r="A1" s="2" t="s">
        <v>4</v>
      </c>
      <c r="B1" s="2" t="s">
        <v>3</v>
      </c>
      <c r="C1" s="2" t="s">
        <v>2</v>
      </c>
      <c r="D1" s="2" t="s">
        <v>1</v>
      </c>
      <c r="E1" s="2" t="s">
        <v>0</v>
      </c>
    </row>
    <row r="2" spans="1:5" x14ac:dyDescent="0.25">
      <c r="A2" s="3" t="s">
        <v>5</v>
      </c>
      <c r="B2" s="3">
        <v>7</v>
      </c>
      <c r="C2" s="3">
        <v>8</v>
      </c>
      <c r="D2" s="3">
        <v>9</v>
      </c>
      <c r="E2" s="3">
        <f>AVERAGE(B2:D2)</f>
        <v>8</v>
      </c>
    </row>
    <row r="3" spans="1:5" x14ac:dyDescent="0.25">
      <c r="A3" s="3" t="s">
        <v>6</v>
      </c>
      <c r="B3" s="3">
        <v>5</v>
      </c>
      <c r="C3" s="3">
        <v>6</v>
      </c>
      <c r="D3" s="3">
        <v>7</v>
      </c>
      <c r="E3" s="3">
        <f t="shared" ref="E3:E4" si="0">AVERAGE(B3:D3)</f>
        <v>6</v>
      </c>
    </row>
    <row r="4" spans="1:5" x14ac:dyDescent="0.25">
      <c r="A4" s="3" t="s">
        <v>7</v>
      </c>
      <c r="B4" s="3">
        <v>10</v>
      </c>
      <c r="C4" s="3">
        <v>9</v>
      </c>
      <c r="D4" s="3">
        <v>8</v>
      </c>
      <c r="E4" s="26">
        <f t="shared" si="0"/>
        <v>9</v>
      </c>
    </row>
    <row r="5" spans="1:5" x14ac:dyDescent="0.25">
      <c r="A5" s="3" t="s">
        <v>9</v>
      </c>
      <c r="B5" s="3">
        <v>4</v>
      </c>
      <c r="C5" s="3">
        <v>5</v>
      </c>
      <c r="D5" s="3">
        <v>6</v>
      </c>
      <c r="E5" s="3">
        <f>AVERAGE(B5:D5)</f>
        <v>5</v>
      </c>
    </row>
    <row r="6" spans="1:5" x14ac:dyDescent="0.25">
      <c r="A6" s="3" t="s">
        <v>8</v>
      </c>
      <c r="B6" s="3">
        <v>8</v>
      </c>
      <c r="C6" s="3">
        <v>8</v>
      </c>
      <c r="D6" s="3">
        <v>9</v>
      </c>
      <c r="E6" s="16">
        <f>AVERAGE(B6:D6)</f>
        <v>8.3333333333333339</v>
      </c>
    </row>
    <row r="8" spans="1:5" x14ac:dyDescent="0.25">
      <c r="A8" s="54" t="s">
        <v>10</v>
      </c>
      <c r="B8" s="55"/>
      <c r="C8" s="55"/>
      <c r="D8" s="56"/>
      <c r="E8" s="4">
        <f>MAX(B2:D6)</f>
        <v>10</v>
      </c>
    </row>
    <row r="9" spans="1:5" x14ac:dyDescent="0.25">
      <c r="A9" s="19" t="s">
        <v>11</v>
      </c>
      <c r="B9" s="20"/>
      <c r="C9" s="20"/>
      <c r="D9" s="21"/>
      <c r="E9" s="5">
        <f>MIN(B2:D6)</f>
        <v>4</v>
      </c>
    </row>
  </sheetData>
  <mergeCells count="1">
    <mergeCell ref="A8:D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10E21-93E0-42A0-B7EA-549F271CB3A7}">
  <dimension ref="A1:F16"/>
  <sheetViews>
    <sheetView workbookViewId="0">
      <selection activeCell="F31" sqref="F31"/>
    </sheetView>
  </sheetViews>
  <sheetFormatPr defaultRowHeight="15" x14ac:dyDescent="0.25"/>
  <cols>
    <col min="1" max="1" width="9.5703125" bestFit="1" customWidth="1"/>
    <col min="2" max="2" width="11" bestFit="1" customWidth="1"/>
    <col min="3" max="3" width="12.7109375" bestFit="1" customWidth="1"/>
    <col min="4" max="4" width="8.7109375" bestFit="1" customWidth="1"/>
    <col min="5" max="5" width="8.5703125" bestFit="1" customWidth="1"/>
    <col min="6" max="6" width="9.28515625" bestFit="1" customWidth="1"/>
  </cols>
  <sheetData>
    <row r="1" spans="1:6" ht="15.75" x14ac:dyDescent="0.25">
      <c r="A1" s="8" t="s">
        <v>4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0</v>
      </c>
    </row>
    <row r="2" spans="1:6" ht="15.75" x14ac:dyDescent="0.25">
      <c r="A2" s="9" t="s">
        <v>16</v>
      </c>
      <c r="B2" s="9">
        <v>8</v>
      </c>
      <c r="C2" s="9">
        <v>7</v>
      </c>
      <c r="D2" s="9">
        <v>9</v>
      </c>
      <c r="E2" s="9">
        <v>6</v>
      </c>
      <c r="F2" s="9">
        <f>AVERAGE(B2:E2)</f>
        <v>7.5</v>
      </c>
    </row>
    <row r="3" spans="1:6" ht="15.75" x14ac:dyDescent="0.25">
      <c r="A3" s="9" t="s">
        <v>17</v>
      </c>
      <c r="B3" s="9">
        <v>10</v>
      </c>
      <c r="C3" s="9">
        <v>9</v>
      </c>
      <c r="D3" s="9">
        <v>8</v>
      </c>
      <c r="E3" s="9">
        <v>10</v>
      </c>
      <c r="F3" s="17">
        <f t="shared" ref="F3:F7" si="0">AVERAGE(B3:E3)</f>
        <v>9.25</v>
      </c>
    </row>
    <row r="4" spans="1:6" ht="15.75" x14ac:dyDescent="0.25">
      <c r="A4" s="9" t="s">
        <v>18</v>
      </c>
      <c r="B4" s="9">
        <v>5</v>
      </c>
      <c r="C4" s="9">
        <v>6</v>
      </c>
      <c r="D4" s="9">
        <v>7</v>
      </c>
      <c r="E4" s="9">
        <v>5</v>
      </c>
      <c r="F4" s="18">
        <f t="shared" si="0"/>
        <v>5.75</v>
      </c>
    </row>
    <row r="5" spans="1:6" ht="15.75" x14ac:dyDescent="0.25">
      <c r="A5" s="9" t="s">
        <v>19</v>
      </c>
      <c r="B5" s="9">
        <v>9</v>
      </c>
      <c r="C5" s="9">
        <v>8</v>
      </c>
      <c r="D5" s="9">
        <v>10</v>
      </c>
      <c r="E5" s="9">
        <v>9</v>
      </c>
      <c r="F5" s="17">
        <f t="shared" si="0"/>
        <v>9</v>
      </c>
    </row>
    <row r="6" spans="1:6" ht="15.75" x14ac:dyDescent="0.25">
      <c r="A6" s="9" t="s">
        <v>20</v>
      </c>
      <c r="B6" s="9">
        <v>6</v>
      </c>
      <c r="C6" s="9">
        <v>7</v>
      </c>
      <c r="D6" s="9">
        <v>5</v>
      </c>
      <c r="E6" s="9">
        <v>8</v>
      </c>
      <c r="F6" s="9">
        <f t="shared" si="0"/>
        <v>6.5</v>
      </c>
    </row>
    <row r="7" spans="1:6" ht="15.75" x14ac:dyDescent="0.25">
      <c r="A7" s="9" t="s">
        <v>21</v>
      </c>
      <c r="B7" s="9">
        <v>10</v>
      </c>
      <c r="C7" s="9">
        <v>10</v>
      </c>
      <c r="D7" s="9">
        <v>9</v>
      </c>
      <c r="E7" s="9">
        <v>10</v>
      </c>
      <c r="F7" s="17">
        <f t="shared" si="0"/>
        <v>9.75</v>
      </c>
    </row>
    <row r="9" spans="1:6" x14ac:dyDescent="0.25">
      <c r="A9" s="63" t="s">
        <v>22</v>
      </c>
      <c r="B9" s="64"/>
      <c r="C9" s="64"/>
      <c r="D9" s="64"/>
      <c r="E9" s="65"/>
      <c r="F9" s="13">
        <f>MAX(B2:E7)</f>
        <v>10</v>
      </c>
    </row>
    <row r="10" spans="1:6" x14ac:dyDescent="0.25">
      <c r="A10" s="60" t="s">
        <v>23</v>
      </c>
      <c r="B10" s="61"/>
      <c r="C10" s="61"/>
      <c r="D10" s="61"/>
      <c r="E10" s="62"/>
      <c r="F10" s="14">
        <f>MIN(B2:E7)</f>
        <v>5</v>
      </c>
    </row>
    <row r="11" spans="1:6" x14ac:dyDescent="0.25">
      <c r="A11" s="60" t="s">
        <v>24</v>
      </c>
      <c r="B11" s="61"/>
      <c r="C11" s="61"/>
      <c r="D11" s="61"/>
      <c r="E11" s="62"/>
      <c r="F11" s="14">
        <f>MAX(F2:F7)</f>
        <v>9.75</v>
      </c>
    </row>
    <row r="12" spans="1:6" x14ac:dyDescent="0.25">
      <c r="A12" s="60" t="s">
        <v>27</v>
      </c>
      <c r="B12" s="61"/>
      <c r="C12" s="61"/>
      <c r="D12" s="61"/>
      <c r="E12" s="62"/>
      <c r="F12" s="14">
        <f>MIN(F2:F7)</f>
        <v>5.75</v>
      </c>
    </row>
    <row r="13" spans="1:6" x14ac:dyDescent="0.25">
      <c r="A13" s="60" t="s">
        <v>25</v>
      </c>
      <c r="B13" s="61"/>
      <c r="C13" s="61"/>
      <c r="D13" s="61"/>
      <c r="E13" s="62"/>
      <c r="F13" s="14">
        <v>3</v>
      </c>
    </row>
    <row r="14" spans="1:6" x14ac:dyDescent="0.25">
      <c r="A14" s="60" t="s">
        <v>28</v>
      </c>
      <c r="B14" s="61"/>
      <c r="C14" s="61"/>
      <c r="D14" s="61"/>
      <c r="E14" s="62"/>
      <c r="F14" s="14">
        <v>1</v>
      </c>
    </row>
    <row r="15" spans="1:6" x14ac:dyDescent="0.25">
      <c r="A15" s="60" t="s">
        <v>26</v>
      </c>
      <c r="B15" s="61"/>
      <c r="C15" s="61"/>
      <c r="D15" s="61"/>
      <c r="E15" s="62"/>
      <c r="F15" s="14" t="s">
        <v>21</v>
      </c>
    </row>
    <row r="16" spans="1:6" x14ac:dyDescent="0.25">
      <c r="A16" s="57" t="s">
        <v>29</v>
      </c>
      <c r="B16" s="58"/>
      <c r="C16" s="58"/>
      <c r="D16" s="58"/>
      <c r="E16" s="59"/>
      <c r="F16" s="15" t="s">
        <v>18</v>
      </c>
    </row>
  </sheetData>
  <mergeCells count="8">
    <mergeCell ref="A9:E9"/>
    <mergeCell ref="A16:E16"/>
    <mergeCell ref="A14:E14"/>
    <mergeCell ref="A15:E15"/>
    <mergeCell ref="A10:E10"/>
    <mergeCell ref="A11:E11"/>
    <mergeCell ref="A12:E12"/>
    <mergeCell ref="A13:E1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A4E3F-1AC8-4A9F-9759-0AEC8D497D25}">
  <dimension ref="A1:F15"/>
  <sheetViews>
    <sheetView workbookViewId="0">
      <selection activeCell="G17" sqref="G17"/>
    </sheetView>
  </sheetViews>
  <sheetFormatPr defaultRowHeight="15" x14ac:dyDescent="0.25"/>
  <cols>
    <col min="1" max="1" width="12.42578125" customWidth="1"/>
    <col min="2" max="6" width="10.7109375" style="25" bestFit="1" customWidth="1"/>
  </cols>
  <sheetData>
    <row r="1" spans="1:6" x14ac:dyDescent="0.25">
      <c r="A1" s="28" t="s">
        <v>30</v>
      </c>
      <c r="B1" s="29" t="s">
        <v>31</v>
      </c>
      <c r="C1" s="29" t="s">
        <v>32</v>
      </c>
      <c r="D1" s="29" t="s">
        <v>33</v>
      </c>
      <c r="E1" s="29" t="s">
        <v>34</v>
      </c>
      <c r="F1" s="29" t="s">
        <v>0</v>
      </c>
    </row>
    <row r="2" spans="1:6" x14ac:dyDescent="0.25">
      <c r="A2" s="7" t="s">
        <v>35</v>
      </c>
      <c r="B2" s="23">
        <v>1200</v>
      </c>
      <c r="C2" s="23">
        <v>1500</v>
      </c>
      <c r="D2" s="23">
        <v>1700</v>
      </c>
      <c r="E2" s="23">
        <v>1800</v>
      </c>
      <c r="F2" s="23">
        <f>AVERAGE(B2:E2)</f>
        <v>1550</v>
      </c>
    </row>
    <row r="3" spans="1:6" x14ac:dyDescent="0.25">
      <c r="A3" s="7" t="s">
        <v>36</v>
      </c>
      <c r="B3" s="23">
        <v>2200</v>
      </c>
      <c r="C3" s="23">
        <v>2100</v>
      </c>
      <c r="D3" s="23">
        <v>2300</v>
      </c>
      <c r="E3" s="23">
        <v>2500</v>
      </c>
      <c r="F3" s="23">
        <f t="shared" ref="F3:F6" si="0">AVERAGE(B3:E3)</f>
        <v>2275</v>
      </c>
    </row>
    <row r="4" spans="1:6" x14ac:dyDescent="0.25">
      <c r="A4" s="7" t="s">
        <v>37</v>
      </c>
      <c r="B4" s="23">
        <v>900</v>
      </c>
      <c r="C4" s="23">
        <v>1000</v>
      </c>
      <c r="D4" s="23">
        <v>1100</v>
      </c>
      <c r="E4" s="23">
        <v>950</v>
      </c>
      <c r="F4" s="23">
        <f t="shared" si="0"/>
        <v>987.5</v>
      </c>
    </row>
    <row r="5" spans="1:6" x14ac:dyDescent="0.25">
      <c r="A5" s="7" t="s">
        <v>38</v>
      </c>
      <c r="B5" s="23">
        <v>3000</v>
      </c>
      <c r="C5" s="23">
        <v>3200</v>
      </c>
      <c r="D5" s="23">
        <v>3100</v>
      </c>
      <c r="E5" s="23">
        <v>3500</v>
      </c>
      <c r="F5" s="23">
        <f t="shared" si="0"/>
        <v>3200</v>
      </c>
    </row>
    <row r="6" spans="1:6" x14ac:dyDescent="0.25">
      <c r="A6" s="7" t="s">
        <v>39</v>
      </c>
      <c r="B6" s="23">
        <v>1400</v>
      </c>
      <c r="C6" s="23">
        <v>1600</v>
      </c>
      <c r="D6" s="23">
        <v>1500</v>
      </c>
      <c r="E6" s="23">
        <v>1550</v>
      </c>
      <c r="F6" s="23">
        <f t="shared" si="0"/>
        <v>1512.5</v>
      </c>
    </row>
    <row r="8" spans="1:6" x14ac:dyDescent="0.25">
      <c r="A8" s="66" t="s">
        <v>40</v>
      </c>
      <c r="B8" s="66"/>
      <c r="C8" s="66"/>
      <c r="D8" s="66"/>
      <c r="E8" s="66"/>
      <c r="F8" s="24">
        <f>MAX(B2:E6)</f>
        <v>3500</v>
      </c>
    </row>
    <row r="9" spans="1:6" x14ac:dyDescent="0.25">
      <c r="A9" s="66" t="s">
        <v>45</v>
      </c>
      <c r="B9" s="66"/>
      <c r="C9" s="66"/>
      <c r="D9" s="66"/>
      <c r="E9" s="66"/>
      <c r="F9" s="24">
        <f>MIN(B2:E6)</f>
        <v>900</v>
      </c>
    </row>
    <row r="10" spans="1:6" x14ac:dyDescent="0.25">
      <c r="A10" s="66" t="s">
        <v>41</v>
      </c>
      <c r="B10" s="66"/>
      <c r="C10" s="66"/>
      <c r="D10" s="66"/>
      <c r="E10" s="66"/>
      <c r="F10" s="24">
        <f>MAX(F2:F6)</f>
        <v>3200</v>
      </c>
    </row>
    <row r="11" spans="1:6" ht="41.25" hidden="1" customHeight="1" x14ac:dyDescent="0.25">
      <c r="A11" s="66" t="s">
        <v>44</v>
      </c>
      <c r="B11" s="66"/>
      <c r="C11" s="66"/>
      <c r="D11" s="66"/>
      <c r="E11" s="66"/>
      <c r="F11" s="24">
        <f>MIN(F2:F6)</f>
        <v>987.5</v>
      </c>
    </row>
    <row r="12" spans="1:6" x14ac:dyDescent="0.25">
      <c r="A12" s="66" t="s">
        <v>42</v>
      </c>
      <c r="B12" s="66"/>
      <c r="C12" s="66"/>
      <c r="D12" s="66"/>
      <c r="E12" s="66"/>
      <c r="F12" s="27" t="s">
        <v>48</v>
      </c>
    </row>
    <row r="13" spans="1:6" x14ac:dyDescent="0.25">
      <c r="A13" s="66" t="s">
        <v>46</v>
      </c>
      <c r="B13" s="66"/>
      <c r="C13" s="66"/>
      <c r="D13" s="66"/>
      <c r="E13" s="66"/>
      <c r="F13" s="27" t="s">
        <v>48</v>
      </c>
    </row>
    <row r="14" spans="1:6" x14ac:dyDescent="0.25">
      <c r="A14" s="66" t="s">
        <v>47</v>
      </c>
      <c r="B14" s="66"/>
      <c r="C14" s="66"/>
      <c r="D14" s="66"/>
      <c r="E14" s="66"/>
      <c r="F14" s="24" t="s">
        <v>48</v>
      </c>
    </row>
    <row r="15" spans="1:6" x14ac:dyDescent="0.25">
      <c r="A15" s="66" t="s">
        <v>43</v>
      </c>
      <c r="B15" s="66"/>
      <c r="C15" s="66"/>
      <c r="D15" s="66"/>
      <c r="E15" s="66"/>
      <c r="F15" s="24" t="s">
        <v>48</v>
      </c>
    </row>
  </sheetData>
  <mergeCells count="8">
    <mergeCell ref="A14:E14"/>
    <mergeCell ref="A15:E15"/>
    <mergeCell ref="A8:E8"/>
    <mergeCell ref="A9:E9"/>
    <mergeCell ref="A10:E10"/>
    <mergeCell ref="A11:E11"/>
    <mergeCell ref="A12:E12"/>
    <mergeCell ref="A13:E13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E21D-8959-4A5E-831E-080242F99A3F}">
  <dimension ref="A1:F15"/>
  <sheetViews>
    <sheetView workbookViewId="0">
      <selection activeCell="C15" sqref="C15"/>
    </sheetView>
  </sheetViews>
  <sheetFormatPr defaultRowHeight="15" x14ac:dyDescent="0.25"/>
  <cols>
    <col min="1" max="1" width="9.28515625" bestFit="1" customWidth="1"/>
    <col min="2" max="2" width="20.5703125" customWidth="1"/>
    <col min="3" max="3" width="12.85546875" customWidth="1"/>
    <col min="4" max="4" width="11.140625" customWidth="1"/>
  </cols>
  <sheetData>
    <row r="1" spans="1:6" ht="15.75" x14ac:dyDescent="0.25">
      <c r="A1" s="8" t="s">
        <v>49</v>
      </c>
      <c r="B1" s="8" t="s">
        <v>50</v>
      </c>
    </row>
    <row r="2" spans="1:6" ht="15.75" x14ac:dyDescent="0.25">
      <c r="A2" s="9" t="s">
        <v>51</v>
      </c>
      <c r="B2" s="9">
        <v>28</v>
      </c>
    </row>
    <row r="3" spans="1:6" ht="15.75" x14ac:dyDescent="0.25">
      <c r="A3" s="9" t="s">
        <v>52</v>
      </c>
      <c r="B3" s="9">
        <v>30</v>
      </c>
    </row>
    <row r="4" spans="1:6" ht="15.75" x14ac:dyDescent="0.25">
      <c r="A4" s="9" t="s">
        <v>53</v>
      </c>
      <c r="B4" s="9">
        <v>27</v>
      </c>
    </row>
    <row r="5" spans="1:6" ht="15.75" x14ac:dyDescent="0.25">
      <c r="A5" s="9" t="s">
        <v>54</v>
      </c>
      <c r="B5" s="9">
        <v>31</v>
      </c>
    </row>
    <row r="6" spans="1:6" ht="15.75" x14ac:dyDescent="0.25">
      <c r="A6" s="9" t="s">
        <v>55</v>
      </c>
      <c r="B6" s="9">
        <v>26</v>
      </c>
    </row>
    <row r="7" spans="1:6" ht="15.75" x14ac:dyDescent="0.25">
      <c r="A7" s="9" t="s">
        <v>56</v>
      </c>
      <c r="B7" s="9">
        <v>29</v>
      </c>
    </row>
    <row r="8" spans="1:6" ht="15.75" x14ac:dyDescent="0.25">
      <c r="A8" s="9" t="s">
        <v>57</v>
      </c>
      <c r="B8" s="9">
        <v>32</v>
      </c>
      <c r="F8" s="30"/>
    </row>
    <row r="10" spans="1:6" x14ac:dyDescent="0.25">
      <c r="A10" s="67" t="s">
        <v>58</v>
      </c>
      <c r="B10" s="68"/>
      <c r="C10" s="10">
        <f>AVERAGE(B2:B8)</f>
        <v>29</v>
      </c>
      <c r="D10" s="31"/>
    </row>
    <row r="11" spans="1:6" x14ac:dyDescent="0.25">
      <c r="A11" s="67" t="s">
        <v>63</v>
      </c>
      <c r="B11" s="68"/>
      <c r="C11" s="11">
        <f>MAX(B2:B8)</f>
        <v>32</v>
      </c>
      <c r="D11" s="31"/>
    </row>
    <row r="12" spans="1:6" x14ac:dyDescent="0.25">
      <c r="A12" s="67" t="s">
        <v>62</v>
      </c>
      <c r="B12" s="68"/>
      <c r="C12" s="11">
        <f>MIN(B2:B8)</f>
        <v>26</v>
      </c>
      <c r="D12" s="31"/>
    </row>
    <row r="13" spans="1:6" x14ac:dyDescent="0.25">
      <c r="A13" s="67" t="s">
        <v>59</v>
      </c>
      <c r="B13" s="68"/>
      <c r="C13" s="11" t="s">
        <v>57</v>
      </c>
      <c r="D13" s="31"/>
    </row>
    <row r="14" spans="1:6" x14ac:dyDescent="0.25">
      <c r="A14" s="67" t="s">
        <v>61</v>
      </c>
      <c r="B14" s="68"/>
      <c r="C14" s="11" t="s">
        <v>55</v>
      </c>
      <c r="D14" s="31"/>
    </row>
    <row r="15" spans="1:6" x14ac:dyDescent="0.25">
      <c r="A15" s="67" t="s">
        <v>60</v>
      </c>
      <c r="B15" s="68"/>
      <c r="C15" s="11" t="s">
        <v>48</v>
      </c>
      <c r="D15" s="31"/>
    </row>
  </sheetData>
  <mergeCells count="6">
    <mergeCell ref="A15:B15"/>
    <mergeCell ref="A10:B10"/>
    <mergeCell ref="A11:B11"/>
    <mergeCell ref="A12:B12"/>
    <mergeCell ref="A13:B13"/>
    <mergeCell ref="A14:B14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95581-9AB5-47BB-9409-6F4F8B3AEB8C}">
  <dimension ref="A1:E16"/>
  <sheetViews>
    <sheetView workbookViewId="0">
      <selection activeCell="J21" sqref="J21"/>
    </sheetView>
  </sheetViews>
  <sheetFormatPr defaultRowHeight="15" x14ac:dyDescent="0.25"/>
  <cols>
    <col min="1" max="1" width="10.5703125" bestFit="1" customWidth="1"/>
    <col min="2" max="2" width="9.140625" style="33" bestFit="1" customWidth="1"/>
    <col min="3" max="3" width="9.5703125" style="33" bestFit="1" customWidth="1"/>
    <col min="4" max="4" width="13.42578125" style="33" customWidth="1"/>
  </cols>
  <sheetData>
    <row r="1" spans="1:5" x14ac:dyDescent="0.25">
      <c r="A1" s="6" t="s">
        <v>64</v>
      </c>
      <c r="B1" s="34" t="s">
        <v>31</v>
      </c>
      <c r="C1" s="34" t="s">
        <v>32</v>
      </c>
      <c r="D1" s="34" t="s">
        <v>33</v>
      </c>
    </row>
    <row r="2" spans="1:5" x14ac:dyDescent="0.25">
      <c r="A2" s="7" t="s">
        <v>65</v>
      </c>
      <c r="B2" s="35">
        <v>120</v>
      </c>
      <c r="C2" s="35">
        <v>130</v>
      </c>
      <c r="D2" s="35">
        <v>125</v>
      </c>
    </row>
    <row r="3" spans="1:5" x14ac:dyDescent="0.25">
      <c r="A3" s="7" t="s">
        <v>66</v>
      </c>
      <c r="B3" s="35">
        <v>220</v>
      </c>
      <c r="C3" s="35">
        <v>250</v>
      </c>
      <c r="D3" s="35">
        <v>240</v>
      </c>
    </row>
    <row r="4" spans="1:5" x14ac:dyDescent="0.25">
      <c r="A4" s="7" t="s">
        <v>67</v>
      </c>
      <c r="B4" s="35">
        <v>100</v>
      </c>
      <c r="C4" s="35">
        <v>100</v>
      </c>
      <c r="D4" s="35">
        <v>100</v>
      </c>
    </row>
    <row r="5" spans="1:5" x14ac:dyDescent="0.25">
      <c r="A5" s="7" t="s">
        <v>68</v>
      </c>
      <c r="B5" s="35">
        <v>850</v>
      </c>
      <c r="C5" s="35">
        <v>900</v>
      </c>
      <c r="D5" s="35">
        <v>870</v>
      </c>
    </row>
    <row r="6" spans="1:5" x14ac:dyDescent="0.25">
      <c r="A6" s="7" t="s">
        <v>69</v>
      </c>
      <c r="B6" s="35">
        <v>300</v>
      </c>
      <c r="C6" s="35">
        <v>320</v>
      </c>
      <c r="D6" s="35">
        <v>310</v>
      </c>
    </row>
    <row r="8" spans="1:5" x14ac:dyDescent="0.25">
      <c r="A8" s="73" t="s">
        <v>70</v>
      </c>
      <c r="B8" s="66"/>
      <c r="C8" s="66"/>
      <c r="D8" s="66"/>
    </row>
    <row r="9" spans="1:5" x14ac:dyDescent="0.25">
      <c r="A9" s="2" t="s">
        <v>75</v>
      </c>
      <c r="B9" s="40" t="s">
        <v>0</v>
      </c>
    </row>
    <row r="10" spans="1:5" x14ac:dyDescent="0.25">
      <c r="A10" s="7" t="s">
        <v>31</v>
      </c>
      <c r="B10" s="41">
        <f>AVERAGE(B2:B6)</f>
        <v>318</v>
      </c>
    </row>
    <row r="11" spans="1:5" x14ac:dyDescent="0.25">
      <c r="A11" s="7" t="s">
        <v>32</v>
      </c>
      <c r="B11" s="41">
        <f>AVERAGE(C2:C6)</f>
        <v>340</v>
      </c>
    </row>
    <row r="12" spans="1:5" x14ac:dyDescent="0.25">
      <c r="A12" s="7" t="s">
        <v>33</v>
      </c>
      <c r="B12" s="41">
        <f>AVERAGE(D2:D6)</f>
        <v>329</v>
      </c>
    </row>
    <row r="13" spans="1:5" x14ac:dyDescent="0.25">
      <c r="A13" s="74" t="s">
        <v>73</v>
      </c>
      <c r="B13" s="74"/>
      <c r="C13" s="74"/>
      <c r="D13" s="75"/>
      <c r="E13" s="36">
        <f>MAX(B2:D6)</f>
        <v>900</v>
      </c>
    </row>
    <row r="14" spans="1:5" x14ac:dyDescent="0.25">
      <c r="A14" s="69" t="s">
        <v>74</v>
      </c>
      <c r="B14" s="69"/>
      <c r="C14" s="69"/>
      <c r="D14" s="70"/>
      <c r="E14" s="37">
        <f>MIN(B2:D6)</f>
        <v>100</v>
      </c>
    </row>
    <row r="15" spans="1:5" x14ac:dyDescent="0.25">
      <c r="A15" s="69" t="s">
        <v>71</v>
      </c>
      <c r="B15" s="69"/>
      <c r="C15" s="69"/>
      <c r="D15" s="70"/>
      <c r="E15" s="38" t="s">
        <v>32</v>
      </c>
    </row>
    <row r="16" spans="1:5" x14ac:dyDescent="0.25">
      <c r="A16" s="71" t="s">
        <v>72</v>
      </c>
      <c r="B16" s="71"/>
      <c r="C16" s="71"/>
      <c r="D16" s="72"/>
      <c r="E16" s="39" t="s">
        <v>48</v>
      </c>
    </row>
  </sheetData>
  <mergeCells count="5">
    <mergeCell ref="A15:D15"/>
    <mergeCell ref="A16:D16"/>
    <mergeCell ref="A8:D8"/>
    <mergeCell ref="A13:D13"/>
    <mergeCell ref="A14:D14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EFA3-C44B-473F-BF5E-BAEA21301D56}">
  <dimension ref="A1:D31"/>
  <sheetViews>
    <sheetView workbookViewId="0">
      <selection activeCell="A16" sqref="A16"/>
    </sheetView>
  </sheetViews>
  <sheetFormatPr defaultRowHeight="15" x14ac:dyDescent="0.25"/>
  <cols>
    <col min="1" max="1" width="12.140625" bestFit="1" customWidth="1"/>
    <col min="4" max="4" width="12.140625" bestFit="1" customWidth="1"/>
  </cols>
  <sheetData>
    <row r="1" spans="1:3" x14ac:dyDescent="0.25">
      <c r="A1" s="76" t="s">
        <v>76</v>
      </c>
      <c r="B1" s="76"/>
    </row>
    <row r="2" spans="1:3" x14ac:dyDescent="0.25">
      <c r="A2" s="3">
        <v>7</v>
      </c>
    </row>
    <row r="3" spans="1:3" x14ac:dyDescent="0.25">
      <c r="A3" s="3">
        <v>8</v>
      </c>
    </row>
    <row r="4" spans="1:3" x14ac:dyDescent="0.25">
      <c r="A4" s="3">
        <v>9</v>
      </c>
    </row>
    <row r="5" spans="1:3" x14ac:dyDescent="0.25">
      <c r="A5" s="3">
        <v>6</v>
      </c>
    </row>
    <row r="6" spans="1:3" x14ac:dyDescent="0.25">
      <c r="A6" s="44" t="s">
        <v>80</v>
      </c>
    </row>
    <row r="7" spans="1:3" x14ac:dyDescent="0.25">
      <c r="A7" s="66" t="s">
        <v>0</v>
      </c>
      <c r="B7" s="66"/>
      <c r="C7" s="22">
        <f>AVERAGE(A2:A5)</f>
        <v>7.5</v>
      </c>
    </row>
    <row r="8" spans="1:3" x14ac:dyDescent="0.25">
      <c r="A8" s="22" t="s">
        <v>78</v>
      </c>
      <c r="B8" s="22"/>
      <c r="C8" s="22">
        <f>MAX(A2:A5)</f>
        <v>9</v>
      </c>
    </row>
    <row r="9" spans="1:3" x14ac:dyDescent="0.25">
      <c r="A9" s="22" t="s">
        <v>77</v>
      </c>
      <c r="B9" s="22"/>
      <c r="C9" s="22">
        <f>MIN(A2:A5)</f>
        <v>6</v>
      </c>
    </row>
    <row r="11" spans="1:3" x14ac:dyDescent="0.25">
      <c r="A11" s="44" t="s">
        <v>79</v>
      </c>
      <c r="B11" s="44"/>
      <c r="C11" s="44"/>
    </row>
    <row r="12" spans="1:3" x14ac:dyDescent="0.25">
      <c r="A12" s="42">
        <v>1200</v>
      </c>
    </row>
    <row r="13" spans="1:3" x14ac:dyDescent="0.25">
      <c r="A13" s="42">
        <v>1500</v>
      </c>
    </row>
    <row r="14" spans="1:3" x14ac:dyDescent="0.25">
      <c r="A14" s="42">
        <v>1800</v>
      </c>
    </row>
    <row r="15" spans="1:3" x14ac:dyDescent="0.25">
      <c r="A15" s="42">
        <v>2000</v>
      </c>
    </row>
    <row r="16" spans="1:3" x14ac:dyDescent="0.25">
      <c r="A16" s="44" t="s">
        <v>80</v>
      </c>
    </row>
    <row r="17" spans="1:4" x14ac:dyDescent="0.25">
      <c r="A17" s="22" t="s">
        <v>0</v>
      </c>
      <c r="B17" s="22"/>
      <c r="C17" s="22"/>
      <c r="D17" s="43">
        <f>AVERAGE(A12:A15)</f>
        <v>1625</v>
      </c>
    </row>
    <row r="18" spans="1:4" x14ac:dyDescent="0.25">
      <c r="A18" s="22" t="s">
        <v>81</v>
      </c>
      <c r="B18" s="22"/>
      <c r="C18" s="22"/>
      <c r="D18" s="43">
        <f>MAX(A12:A15)</f>
        <v>2000</v>
      </c>
    </row>
    <row r="19" spans="1:4" x14ac:dyDescent="0.25">
      <c r="A19" s="22" t="s">
        <v>82</v>
      </c>
      <c r="B19" s="22"/>
      <c r="C19" s="22"/>
      <c r="D19" s="43">
        <f>MIN(A12:A15)</f>
        <v>1200</v>
      </c>
    </row>
    <row r="21" spans="1:4" x14ac:dyDescent="0.25">
      <c r="A21" s="76" t="s">
        <v>83</v>
      </c>
      <c r="B21" s="76"/>
    </row>
    <row r="22" spans="1:4" x14ac:dyDescent="0.25">
      <c r="A22" s="2" t="s">
        <v>84</v>
      </c>
    </row>
    <row r="23" spans="1:4" x14ac:dyDescent="0.25">
      <c r="A23" s="3">
        <v>2</v>
      </c>
    </row>
    <row r="24" spans="1:4" x14ac:dyDescent="0.25">
      <c r="A24" s="3">
        <v>1</v>
      </c>
    </row>
    <row r="25" spans="1:4" x14ac:dyDescent="0.25">
      <c r="A25" s="3">
        <v>3</v>
      </c>
    </row>
    <row r="26" spans="1:4" x14ac:dyDescent="0.25">
      <c r="A26" s="3">
        <v>4</v>
      </c>
    </row>
    <row r="27" spans="1:4" x14ac:dyDescent="0.25">
      <c r="A27" s="3">
        <v>5</v>
      </c>
    </row>
    <row r="28" spans="1:4" x14ac:dyDescent="0.25">
      <c r="A28" s="44" t="s">
        <v>80</v>
      </c>
    </row>
    <row r="29" spans="1:4" x14ac:dyDescent="0.25">
      <c r="A29" s="77" t="s">
        <v>85</v>
      </c>
      <c r="B29" s="77"/>
      <c r="C29" s="12">
        <f xml:space="preserve"> AVERAGE(A23:A27)</f>
        <v>3</v>
      </c>
    </row>
    <row r="30" spans="1:4" x14ac:dyDescent="0.25">
      <c r="A30" s="77" t="s">
        <v>86</v>
      </c>
      <c r="B30" s="77"/>
      <c r="C30" s="12">
        <f>MAX(A23:A27)</f>
        <v>5</v>
      </c>
    </row>
    <row r="31" spans="1:4" x14ac:dyDescent="0.25">
      <c r="A31" s="77" t="s">
        <v>87</v>
      </c>
      <c r="B31" s="77"/>
      <c r="C31" s="12">
        <f>MIN(A23:A27)</f>
        <v>1</v>
      </c>
    </row>
  </sheetData>
  <mergeCells count="6">
    <mergeCell ref="A1:B1"/>
    <mergeCell ref="A21:B21"/>
    <mergeCell ref="A29:B29"/>
    <mergeCell ref="A30:B30"/>
    <mergeCell ref="A31:B31"/>
    <mergeCell ref="A7:B7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90A02-1E16-47F8-A371-40DB27751BAE}">
  <dimension ref="A1:G19"/>
  <sheetViews>
    <sheetView workbookViewId="0">
      <selection activeCell="D17" sqref="D17"/>
    </sheetView>
  </sheetViews>
  <sheetFormatPr defaultRowHeight="15" x14ac:dyDescent="0.25"/>
  <cols>
    <col min="1" max="1" width="11.140625" bestFit="1" customWidth="1"/>
    <col min="2" max="7" width="11.42578125" style="32" bestFit="1" customWidth="1"/>
  </cols>
  <sheetData>
    <row r="1" spans="1:7" x14ac:dyDescent="0.25">
      <c r="A1" s="78" t="s">
        <v>104</v>
      </c>
      <c r="B1" s="79"/>
      <c r="C1" s="79"/>
      <c r="D1" s="79"/>
      <c r="E1" s="79"/>
      <c r="F1" s="79"/>
      <c r="G1" s="79"/>
    </row>
    <row r="3" spans="1:7" ht="15.75" x14ac:dyDescent="0.25">
      <c r="A3" s="46" t="s">
        <v>93</v>
      </c>
      <c r="B3" s="47" t="s">
        <v>31</v>
      </c>
      <c r="C3" s="47" t="s">
        <v>32</v>
      </c>
      <c r="D3" s="47" t="s">
        <v>33</v>
      </c>
      <c r="E3" s="47" t="s">
        <v>34</v>
      </c>
      <c r="F3" s="47" t="s">
        <v>94</v>
      </c>
      <c r="G3" s="47" t="s">
        <v>95</v>
      </c>
    </row>
    <row r="4" spans="1:7" ht="15.75" x14ac:dyDescent="0.25">
      <c r="A4" s="51" t="s">
        <v>96</v>
      </c>
      <c r="B4" s="45">
        <v>120</v>
      </c>
      <c r="C4" s="45">
        <v>135</v>
      </c>
      <c r="D4" s="45">
        <v>128</v>
      </c>
      <c r="E4" s="45">
        <v>140</v>
      </c>
      <c r="F4" s="45">
        <v>150</v>
      </c>
      <c r="G4" s="45">
        <v>160</v>
      </c>
    </row>
    <row r="5" spans="1:7" ht="15.75" x14ac:dyDescent="0.25">
      <c r="A5" s="51" t="s">
        <v>97</v>
      </c>
      <c r="B5" s="45">
        <v>90</v>
      </c>
      <c r="C5" s="45">
        <v>95</v>
      </c>
      <c r="D5" s="45">
        <v>100</v>
      </c>
      <c r="E5" s="45">
        <v>105</v>
      </c>
      <c r="F5" s="45">
        <v>98</v>
      </c>
      <c r="G5" s="45">
        <v>110</v>
      </c>
    </row>
    <row r="6" spans="1:7" ht="15.75" x14ac:dyDescent="0.25">
      <c r="A6" s="51" t="s">
        <v>98</v>
      </c>
      <c r="B6" s="45">
        <v>200</v>
      </c>
      <c r="C6" s="45">
        <v>210</v>
      </c>
      <c r="D6" s="45">
        <v>220</v>
      </c>
      <c r="E6" s="45">
        <v>215</v>
      </c>
      <c r="F6" s="45">
        <v>225</v>
      </c>
      <c r="G6" s="45">
        <v>230</v>
      </c>
    </row>
    <row r="7" spans="1:7" ht="15.75" x14ac:dyDescent="0.25">
      <c r="A7" s="51" t="s">
        <v>99</v>
      </c>
      <c r="B7" s="45">
        <v>75</v>
      </c>
      <c r="C7" s="45">
        <v>80</v>
      </c>
      <c r="D7" s="45">
        <v>78</v>
      </c>
      <c r="E7" s="45">
        <v>82</v>
      </c>
      <c r="F7" s="45">
        <v>85</v>
      </c>
      <c r="G7" s="45">
        <v>88</v>
      </c>
    </row>
    <row r="8" spans="1:7" ht="15.75" x14ac:dyDescent="0.25">
      <c r="A8" s="51" t="s">
        <v>100</v>
      </c>
      <c r="B8" s="45">
        <v>300</v>
      </c>
      <c r="C8" s="45">
        <v>320</v>
      </c>
      <c r="D8" s="45">
        <v>310</v>
      </c>
      <c r="E8" s="45">
        <v>330</v>
      </c>
      <c r="F8" s="45">
        <v>340</v>
      </c>
      <c r="G8" s="45">
        <v>350</v>
      </c>
    </row>
    <row r="9" spans="1:7" ht="15.75" x14ac:dyDescent="0.25">
      <c r="A9" s="51" t="s">
        <v>101</v>
      </c>
      <c r="B9" s="45">
        <v>150</v>
      </c>
      <c r="C9" s="45">
        <v>145</v>
      </c>
      <c r="D9" s="45">
        <v>155</v>
      </c>
      <c r="E9" s="45">
        <v>160</v>
      </c>
      <c r="F9" s="45">
        <v>165</v>
      </c>
      <c r="G9" s="45">
        <v>170</v>
      </c>
    </row>
    <row r="10" spans="1:7" ht="15.75" x14ac:dyDescent="0.25">
      <c r="A10" s="51" t="s">
        <v>102</v>
      </c>
      <c r="B10" s="45">
        <v>60</v>
      </c>
      <c r="C10" s="45">
        <v>70</v>
      </c>
      <c r="D10" s="45">
        <v>68</v>
      </c>
      <c r="E10" s="45">
        <v>72</v>
      </c>
      <c r="F10" s="45">
        <v>75</v>
      </c>
      <c r="G10" s="45">
        <v>80</v>
      </c>
    </row>
    <row r="11" spans="1:7" ht="15.75" x14ac:dyDescent="0.25">
      <c r="A11" s="51" t="s">
        <v>103</v>
      </c>
      <c r="B11" s="45">
        <v>500</v>
      </c>
      <c r="C11" s="45">
        <v>520</v>
      </c>
      <c r="D11" s="45">
        <v>510</v>
      </c>
      <c r="E11" s="45">
        <v>530</v>
      </c>
      <c r="F11" s="45">
        <v>540</v>
      </c>
      <c r="G11" s="45">
        <v>560</v>
      </c>
    </row>
    <row r="14" spans="1:7" x14ac:dyDescent="0.25">
      <c r="A14" s="82" t="s">
        <v>88</v>
      </c>
      <c r="B14" s="82"/>
      <c r="C14" s="83"/>
      <c r="D14" s="48" t="s">
        <v>48</v>
      </c>
    </row>
    <row r="15" spans="1:7" x14ac:dyDescent="0.25">
      <c r="A15" s="61" t="s">
        <v>89</v>
      </c>
      <c r="B15" s="61"/>
      <c r="C15" s="62"/>
      <c r="D15" s="49" t="s">
        <v>48</v>
      </c>
    </row>
    <row r="16" spans="1:7" x14ac:dyDescent="0.25">
      <c r="A16" s="61" t="s">
        <v>46</v>
      </c>
      <c r="B16" s="61"/>
      <c r="C16" s="62"/>
      <c r="D16" s="49" t="s">
        <v>48</v>
      </c>
    </row>
    <row r="17" spans="1:4" x14ac:dyDescent="0.25">
      <c r="A17" s="61" t="s">
        <v>90</v>
      </c>
      <c r="B17" s="61"/>
      <c r="C17" s="62"/>
      <c r="D17" s="49" t="s">
        <v>48</v>
      </c>
    </row>
    <row r="18" spans="1:4" x14ac:dyDescent="0.25">
      <c r="A18" s="61" t="s">
        <v>92</v>
      </c>
      <c r="B18" s="61"/>
      <c r="C18" s="62"/>
      <c r="D18" s="49" t="s">
        <v>48</v>
      </c>
    </row>
    <row r="19" spans="1:4" x14ac:dyDescent="0.25">
      <c r="A19" s="80" t="s">
        <v>91</v>
      </c>
      <c r="B19" s="80"/>
      <c r="C19" s="81"/>
      <c r="D19" s="50" t="s">
        <v>48</v>
      </c>
    </row>
  </sheetData>
  <mergeCells count="7">
    <mergeCell ref="A1:G1"/>
    <mergeCell ref="A18:C18"/>
    <mergeCell ref="A19:C19"/>
    <mergeCell ref="A17:C17"/>
    <mergeCell ref="A14:C14"/>
    <mergeCell ref="A15:C15"/>
    <mergeCell ref="A16:C16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55CF-2DB8-4FDB-84DD-43BD7BC5BE19}">
  <dimension ref="A1:G31"/>
  <sheetViews>
    <sheetView topLeftCell="A4" workbookViewId="0">
      <selection activeCell="A31" sqref="A31"/>
    </sheetView>
  </sheetViews>
  <sheetFormatPr defaultRowHeight="15" x14ac:dyDescent="0.25"/>
  <sheetData>
    <row r="1" spans="1:4" x14ac:dyDescent="0.25">
      <c r="A1" s="1" t="s">
        <v>105</v>
      </c>
    </row>
    <row r="2" spans="1:4" x14ac:dyDescent="0.25">
      <c r="A2" s="53" t="s">
        <v>106</v>
      </c>
      <c r="B2" s="53"/>
      <c r="C2" s="53"/>
      <c r="D2" s="53"/>
    </row>
    <row r="3" spans="1:4" x14ac:dyDescent="0.25">
      <c r="A3" t="s">
        <v>123</v>
      </c>
    </row>
    <row r="5" spans="1:4" x14ac:dyDescent="0.25">
      <c r="A5" s="1" t="s">
        <v>107</v>
      </c>
    </row>
    <row r="6" spans="1:4" x14ac:dyDescent="0.25">
      <c r="A6" s="1" t="s">
        <v>108</v>
      </c>
      <c r="B6" s="1"/>
      <c r="C6" s="1"/>
      <c r="D6" s="1"/>
    </row>
    <row r="7" spans="1:4" x14ac:dyDescent="0.25">
      <c r="A7" t="s">
        <v>122</v>
      </c>
    </row>
    <row r="9" spans="1:4" x14ac:dyDescent="0.25">
      <c r="A9" s="1" t="s">
        <v>109</v>
      </c>
    </row>
    <row r="10" spans="1:4" x14ac:dyDescent="0.25">
      <c r="A10" s="1" t="s">
        <v>110</v>
      </c>
      <c r="B10" s="1"/>
      <c r="C10" s="1"/>
      <c r="D10" s="1"/>
    </row>
    <row r="11" spans="1:4" x14ac:dyDescent="0.25">
      <c r="A11" t="s">
        <v>121</v>
      </c>
    </row>
    <row r="13" spans="1:4" x14ac:dyDescent="0.25">
      <c r="A13" s="1" t="s">
        <v>111</v>
      </c>
    </row>
    <row r="14" spans="1:4" x14ac:dyDescent="0.25">
      <c r="A14" s="1" t="s">
        <v>112</v>
      </c>
      <c r="B14" s="1"/>
      <c r="C14" s="1"/>
      <c r="D14" s="1"/>
    </row>
    <row r="15" spans="1:4" x14ac:dyDescent="0.25">
      <c r="A15" t="s">
        <v>120</v>
      </c>
    </row>
    <row r="17" spans="1:7" x14ac:dyDescent="0.25">
      <c r="A17" s="1" t="s">
        <v>113</v>
      </c>
    </row>
    <row r="18" spans="1:7" x14ac:dyDescent="0.25">
      <c r="A18" s="1" t="s">
        <v>114</v>
      </c>
    </row>
    <row r="19" spans="1:7" x14ac:dyDescent="0.25">
      <c r="A19" s="1" t="s">
        <v>119</v>
      </c>
      <c r="B19" s="1"/>
    </row>
    <row r="20" spans="1:7" x14ac:dyDescent="0.25">
      <c r="A20" t="s">
        <v>124</v>
      </c>
    </row>
    <row r="22" spans="1:7" x14ac:dyDescent="0.25">
      <c r="A22" s="1" t="s">
        <v>115</v>
      </c>
    </row>
    <row r="23" spans="1:7" x14ac:dyDescent="0.25">
      <c r="A23" s="1" t="s">
        <v>114</v>
      </c>
    </row>
    <row r="24" spans="1:7" x14ac:dyDescent="0.25">
      <c r="A24" s="1" t="s">
        <v>118</v>
      </c>
    </row>
    <row r="25" spans="1:7" x14ac:dyDescent="0.25">
      <c r="A25" s="52" t="s">
        <v>124</v>
      </c>
      <c r="B25" s="52"/>
      <c r="C25" s="52"/>
      <c r="D25" s="52"/>
      <c r="E25" s="52"/>
      <c r="F25" s="52"/>
      <c r="G25" s="52"/>
    </row>
    <row r="27" spans="1:7" x14ac:dyDescent="0.25">
      <c r="A27" s="1" t="s">
        <v>116</v>
      </c>
      <c r="E27" s="1"/>
    </row>
    <row r="28" spans="1:7" x14ac:dyDescent="0.25">
      <c r="A28" s="1" t="s">
        <v>117</v>
      </c>
      <c r="B28" s="1"/>
      <c r="C28" s="1"/>
      <c r="D28" s="1"/>
    </row>
    <row r="29" spans="1:7" x14ac:dyDescent="0.25">
      <c r="A29" s="52" t="s">
        <v>125</v>
      </c>
      <c r="B29" s="52"/>
      <c r="C29" s="52"/>
      <c r="D29" s="52"/>
      <c r="E29" s="52"/>
      <c r="F29" s="52"/>
      <c r="G29" s="52"/>
    </row>
    <row r="31" spans="1:7" x14ac:dyDescent="0.25">
      <c r="A31" s="1"/>
    </row>
  </sheetData>
  <mergeCells count="3">
    <mergeCell ref="A29:G29"/>
    <mergeCell ref="A25:G25"/>
    <mergeCell ref="A2:D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A43F4-4020-45B3-A18E-717F8FE28122}">
  <dimension ref="A1:G18"/>
  <sheetViews>
    <sheetView tabSelected="1" workbookViewId="0">
      <selection activeCell="K8" sqref="K8"/>
    </sheetView>
  </sheetViews>
  <sheetFormatPr defaultRowHeight="15" x14ac:dyDescent="0.25"/>
  <cols>
    <col min="1" max="1" width="16.140625" customWidth="1"/>
    <col min="2" max="4" width="11.7109375" bestFit="1" customWidth="1"/>
    <col min="5" max="5" width="15.7109375" bestFit="1" customWidth="1"/>
    <col min="6" max="6" width="8.5703125" bestFit="1" customWidth="1"/>
    <col min="7" max="7" width="6.7109375" bestFit="1" customWidth="1"/>
  </cols>
  <sheetData>
    <row r="1" spans="1:7" x14ac:dyDescent="0.25">
      <c r="A1" s="85" t="s">
        <v>132</v>
      </c>
      <c r="B1" s="85"/>
      <c r="C1" s="85"/>
      <c r="D1" s="85"/>
      <c r="E1" s="85"/>
      <c r="F1" s="85"/>
      <c r="G1" s="85"/>
    </row>
    <row r="3" spans="1:7" x14ac:dyDescent="0.25">
      <c r="A3" s="84" t="s">
        <v>4</v>
      </c>
      <c r="B3" s="84" t="s">
        <v>134</v>
      </c>
      <c r="C3" s="84" t="s">
        <v>133</v>
      </c>
      <c r="D3" s="84" t="s">
        <v>145</v>
      </c>
      <c r="E3" s="84" t="s">
        <v>131</v>
      </c>
      <c r="F3" s="84" t="s">
        <v>135</v>
      </c>
      <c r="G3" s="84" t="s">
        <v>0</v>
      </c>
    </row>
    <row r="4" spans="1:7" x14ac:dyDescent="0.25">
      <c r="A4" s="3" t="s">
        <v>126</v>
      </c>
      <c r="B4" s="3">
        <v>5</v>
      </c>
      <c r="C4" s="3">
        <v>7</v>
      </c>
      <c r="D4" s="3">
        <v>6</v>
      </c>
      <c r="E4" s="3">
        <v>8</v>
      </c>
      <c r="F4" s="3">
        <v>9</v>
      </c>
      <c r="G4" s="12">
        <f>AVERAGE(B4:F4)</f>
        <v>7</v>
      </c>
    </row>
    <row r="5" spans="1:7" x14ac:dyDescent="0.25">
      <c r="A5" s="3" t="s">
        <v>127</v>
      </c>
      <c r="B5" s="3">
        <v>7</v>
      </c>
      <c r="C5" s="3">
        <v>10</v>
      </c>
      <c r="D5" s="3">
        <v>4</v>
      </c>
      <c r="E5" s="3">
        <v>6</v>
      </c>
      <c r="F5" s="3">
        <v>5</v>
      </c>
      <c r="G5" s="12">
        <f>AVERAGE(B5:F5)</f>
        <v>6.4</v>
      </c>
    </row>
    <row r="6" spans="1:7" x14ac:dyDescent="0.25">
      <c r="A6" s="3" t="s">
        <v>128</v>
      </c>
      <c r="B6" s="3">
        <v>8</v>
      </c>
      <c r="C6" s="3">
        <v>6</v>
      </c>
      <c r="D6" s="3">
        <v>5</v>
      </c>
      <c r="E6" s="3">
        <v>7</v>
      </c>
      <c r="F6" s="3">
        <v>9</v>
      </c>
      <c r="G6" s="12">
        <f>AVERAGE(B6:F6)</f>
        <v>7</v>
      </c>
    </row>
    <row r="7" spans="1:7" x14ac:dyDescent="0.25">
      <c r="A7" s="3" t="s">
        <v>129</v>
      </c>
      <c r="B7" s="3">
        <v>4</v>
      </c>
      <c r="C7" s="3">
        <v>6</v>
      </c>
      <c r="D7" s="3">
        <v>8</v>
      </c>
      <c r="E7" s="3">
        <v>9</v>
      </c>
      <c r="F7" s="3">
        <v>5</v>
      </c>
      <c r="G7" s="12">
        <f>AVERAGE(B7:F7)</f>
        <v>6.4</v>
      </c>
    </row>
    <row r="8" spans="1:7" x14ac:dyDescent="0.25">
      <c r="A8" s="3" t="s">
        <v>130</v>
      </c>
      <c r="B8" s="3">
        <v>2</v>
      </c>
      <c r="C8" s="3">
        <v>9</v>
      </c>
      <c r="D8" s="3">
        <v>10</v>
      </c>
      <c r="E8" s="3">
        <v>5</v>
      </c>
      <c r="F8" s="3">
        <v>8</v>
      </c>
      <c r="G8" s="12">
        <f>AVERAGE(B8:F8)</f>
        <v>6.8</v>
      </c>
    </row>
    <row r="9" spans="1:7" x14ac:dyDescent="0.25">
      <c r="A9" s="86" t="s">
        <v>143</v>
      </c>
      <c r="B9" s="87"/>
      <c r="C9" s="87"/>
      <c r="D9" s="87"/>
      <c r="E9" s="87"/>
      <c r="F9" s="87"/>
      <c r="G9" s="22">
        <f>MAX(B4:F8)</f>
        <v>10</v>
      </c>
    </row>
    <row r="10" spans="1:7" x14ac:dyDescent="0.25">
      <c r="A10" s="88" t="s">
        <v>144</v>
      </c>
      <c r="B10" s="89"/>
      <c r="C10" s="89"/>
      <c r="D10" s="89"/>
      <c r="E10" s="89"/>
      <c r="F10" s="89"/>
      <c r="G10" s="22">
        <f>MIN(B4:F8)</f>
        <v>2</v>
      </c>
    </row>
    <row r="12" spans="1:7" x14ac:dyDescent="0.25">
      <c r="A12" s="66" t="s">
        <v>136</v>
      </c>
      <c r="B12" s="66"/>
      <c r="C12" s="66" t="s">
        <v>48</v>
      </c>
      <c r="D12" s="66"/>
    </row>
    <row r="13" spans="1:7" x14ac:dyDescent="0.25">
      <c r="A13" s="22" t="s">
        <v>137</v>
      </c>
      <c r="B13" s="22"/>
      <c r="C13" s="66" t="s">
        <v>48</v>
      </c>
      <c r="D13" s="66"/>
    </row>
    <row r="14" spans="1:7" x14ac:dyDescent="0.25">
      <c r="A14" s="22" t="s">
        <v>138</v>
      </c>
      <c r="B14" s="22"/>
      <c r="C14" s="66" t="s">
        <v>48</v>
      </c>
      <c r="D14" s="66"/>
    </row>
    <row r="15" spans="1:7" x14ac:dyDescent="0.25">
      <c r="A15" s="22" t="s">
        <v>139</v>
      </c>
      <c r="B15" s="22"/>
      <c r="C15" s="66" t="s">
        <v>48</v>
      </c>
      <c r="D15" s="66"/>
    </row>
    <row r="16" spans="1:7" x14ac:dyDescent="0.25">
      <c r="A16" s="22" t="s">
        <v>140</v>
      </c>
      <c r="B16" s="22"/>
      <c r="C16" s="66" t="s">
        <v>48</v>
      </c>
      <c r="D16" s="66"/>
    </row>
    <row r="17" spans="1:4" x14ac:dyDescent="0.25">
      <c r="A17" s="22" t="s">
        <v>141</v>
      </c>
      <c r="B17" s="22"/>
      <c r="C17" s="66" t="s">
        <v>48</v>
      </c>
      <c r="D17" s="66"/>
    </row>
    <row r="18" spans="1:4" x14ac:dyDescent="0.25">
      <c r="A18" s="22" t="s">
        <v>142</v>
      </c>
      <c r="B18" s="22"/>
      <c r="C18" s="66" t="s">
        <v>146</v>
      </c>
      <c r="D18" s="66"/>
    </row>
  </sheetData>
  <mergeCells count="11">
    <mergeCell ref="C17:D17"/>
    <mergeCell ref="A9:F9"/>
    <mergeCell ref="A10:F10"/>
    <mergeCell ref="C18:D18"/>
    <mergeCell ref="C12:D12"/>
    <mergeCell ref="C13:D13"/>
    <mergeCell ref="C14:D14"/>
    <mergeCell ref="C15:D15"/>
    <mergeCell ref="C16:D16"/>
    <mergeCell ref="A1:G1"/>
    <mergeCell ref="A12:B1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EXEMPLO GUIADO</vt:lpstr>
      <vt:lpstr>MÉDIA ESCOLAR</vt:lpstr>
      <vt:lpstr>CONTROLE DE VENDAS</vt:lpstr>
      <vt:lpstr>TEMPERATURA DA SEMANA</vt:lpstr>
      <vt:lpstr>CONTROLE DE GASTOS</vt:lpstr>
      <vt:lpstr>SITUAÇÕES PROBLEMA</vt:lpstr>
      <vt:lpstr>DESAFIO DE FORMATAÇÃO</vt:lpstr>
      <vt:lpstr>QUESTIONÁRIO TEÓRICO</vt:lpstr>
      <vt:lpstr>DESAFIO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Ananias Alves</dc:creator>
  <cp:lastModifiedBy>Miguel Ananias Alves</cp:lastModifiedBy>
  <dcterms:created xsi:type="dcterms:W3CDTF">2026-05-11T19:22:57Z</dcterms:created>
  <dcterms:modified xsi:type="dcterms:W3CDTF">2026-05-12T20:03:31Z</dcterms:modified>
</cp:coreProperties>
</file>