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42562919890\Desktop\HARDWARE\Excel\"/>
    </mc:Choice>
  </mc:AlternateContent>
  <xr:revisionPtr revIDLastSave="0" documentId="8_{E654FC4C-3464-48BF-9C38-33E3225200D7}" xr6:coauthVersionLast="47" xr6:coauthVersionMax="47" xr10:uidLastSave="{00000000-0000-0000-0000-000000000000}"/>
  <bookViews>
    <workbookView xWindow="-120" yWindow="-120" windowWidth="19440" windowHeight="15000" firstSheet="5" activeTab="6" xr2:uid="{F480BF7D-E181-418E-A328-699D698BE6F8}"/>
  </bookViews>
  <sheets>
    <sheet name="EXERCÍCIO 1" sheetId="1" r:id="rId1"/>
    <sheet name="EXERCÍCIO 2" sheetId="2" r:id="rId2"/>
    <sheet name="3. CONTROLE DE ESTOQUE" sheetId="3" r:id="rId3"/>
    <sheet name="4. CONTROLE DE FUNCIONÁRIOS" sheetId="4" r:id="rId4"/>
    <sheet name="5. CONTROLE ESCOLAR" sheetId="5" r:id="rId5"/>
    <sheet name="6. VENDAS MENSAIS" sheetId="6" r:id="rId6"/>
    <sheet name="7. DESAFIO COMPLET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7" l="1"/>
  <c r="F13" i="7"/>
  <c r="E12" i="7"/>
  <c r="D11" i="7"/>
  <c r="E13" i="6"/>
  <c r="E12" i="6"/>
  <c r="E11" i="6"/>
  <c r="F13" i="5"/>
  <c r="F12" i="5"/>
  <c r="E11" i="5"/>
  <c r="F14" i="4"/>
  <c r="F13" i="4"/>
  <c r="F12" i="4"/>
  <c r="F11" i="4"/>
  <c r="F14" i="3"/>
  <c r="F13" i="3"/>
  <c r="F12" i="3"/>
  <c r="F11" i="3"/>
  <c r="F8" i="1"/>
  <c r="F7" i="1"/>
</calcChain>
</file>

<file path=xl/sharedStrings.xml><?xml version="1.0" encoding="utf-8"?>
<sst xmlns="http://schemas.openxmlformats.org/spreadsheetml/2006/main" count="155" uniqueCount="93">
  <si>
    <t>Produto</t>
  </si>
  <si>
    <t>Quantidade</t>
  </si>
  <si>
    <t>Arroz</t>
  </si>
  <si>
    <t>Feijão</t>
  </si>
  <si>
    <t>Café</t>
  </si>
  <si>
    <t>Situação</t>
  </si>
  <si>
    <t>Aprovado</t>
  </si>
  <si>
    <t>Reprovado</t>
  </si>
  <si>
    <t>Caneta</t>
  </si>
  <si>
    <t>Lápis</t>
  </si>
  <si>
    <t>Borracha</t>
  </si>
  <si>
    <t>1. Quantas vezes aparece “Caneta”?</t>
  </si>
  <si>
    <t>2. Qual a soma total das quantidades de “Caneta”?</t>
  </si>
  <si>
    <t>Mês</t>
  </si>
  <si>
    <t>Vendas</t>
  </si>
  <si>
    <t>Janeiro</t>
  </si>
  <si>
    <t>Fevereiro</t>
  </si>
  <si>
    <t>Março</t>
  </si>
  <si>
    <t>Abril</t>
  </si>
  <si>
    <t>Crie um gráfico usando a tabela abaixo:</t>
  </si>
  <si>
    <t>Categoria</t>
  </si>
  <si>
    <t>Quantidade Vendida</t>
  </si>
  <si>
    <t>Escrita</t>
  </si>
  <si>
    <t>Escolar</t>
  </si>
  <si>
    <t>Caderno</t>
  </si>
  <si>
    <t>Régua</t>
  </si>
  <si>
    <t>1. Quantas vezes o produto “Caneta” aparece na tabela?</t>
  </si>
  <si>
    <t>2. Qual a soma total de vendas de “Caneta”?</t>
  </si>
  <si>
    <t>3. Quantas vendas pertencem à categoria “Escolar”?</t>
  </si>
  <si>
    <t>4. Qual o total vendido da categoria “Escrita”?</t>
  </si>
  <si>
    <t>5. Crie um gráfico de colunas mostrando as quantidades vendidas por produto.</t>
  </si>
  <si>
    <t>6. Qual tipo de gráfico seria melhor para mostrar a participação das categorias? Justifique.</t>
  </si>
  <si>
    <t>Gráfico Pizza, pois ele ele tem a participação das categorias em porcentagem.</t>
  </si>
  <si>
    <t>Funcionário</t>
  </si>
  <si>
    <t>Setor</t>
  </si>
  <si>
    <t>Atendimentos</t>
  </si>
  <si>
    <t>Carlos</t>
  </si>
  <si>
    <t>Suporte</t>
  </si>
  <si>
    <t>Ana</t>
  </si>
  <si>
    <t>João</t>
  </si>
  <si>
    <t>Beatriz</t>
  </si>
  <si>
    <t>Financeiro</t>
  </si>
  <si>
    <t>1. Quantas vezes “Ana” aparece na tabela?</t>
  </si>
  <si>
    <t>2. Qual o total de atendimentos realizados por “Carlos”?</t>
  </si>
  <si>
    <t>3. Quantos registros pertencem ao setor “Suporte”?</t>
  </si>
  <si>
    <t>4. Qual o total de atendimentos do setor “Vendas”?</t>
  </si>
  <si>
    <t>5. Monte um gráfico de pizza utilizando os totais dos setores.</t>
  </si>
  <si>
    <t>6. Qual funcionário realizou mais atendimentos no total?</t>
  </si>
  <si>
    <t>Aluno</t>
  </si>
  <si>
    <t>Nota</t>
  </si>
  <si>
    <t>Marcos</t>
  </si>
  <si>
    <t>Julia</t>
  </si>
  <si>
    <t>Amanda</t>
  </si>
  <si>
    <t>Lucas</t>
  </si>
  <si>
    <t>Recuperação</t>
  </si>
  <si>
    <t>Fernanda</t>
  </si>
  <si>
    <t>Pedro</t>
  </si>
  <si>
    <t>Larissa</t>
  </si>
  <si>
    <t>Rafael</t>
  </si>
  <si>
    <t>1. Quantos alunos foram aprovados?</t>
  </si>
  <si>
    <t>2. Quantos alunos ficaram em recuperação?</t>
  </si>
  <si>
    <t>3. Qual a soma das notas dos alunos aprovados?</t>
  </si>
  <si>
    <t>4. Crie um gráfico de pizza representando as situações dos alunos.</t>
  </si>
  <si>
    <t>5. Crie um gráfico de colunas mostrando as notas dos alunos.</t>
  </si>
  <si>
    <t>6. Explique qual gráfico facilita mais a visualização do desempenho da turma.</t>
  </si>
  <si>
    <t>Coluna, pois da para identificar e comparar melhor a nota dos alunos</t>
  </si>
  <si>
    <t>Valor</t>
  </si>
  <si>
    <t>Celular</t>
  </si>
  <si>
    <t>Notebook</t>
  </si>
  <si>
    <t>Tablet</t>
  </si>
  <si>
    <t>1. Quantas vezes o produto “Celular” aparece?</t>
  </si>
  <si>
    <t>2. Qual o valor total vendido de “Celular”?</t>
  </si>
  <si>
    <t>3. Qual o total de vendas do mês de Março?</t>
  </si>
  <si>
    <t>4. Crie um gráfico de linhas mostrando a evolução das vendas do produto “Celular”.</t>
  </si>
  <si>
    <t>5. Crie um gráfico de colunas comparando os produtos.</t>
  </si>
  <si>
    <t>6. Qual mês teve o maior valor total vendido?</t>
  </si>
  <si>
    <t>Região</t>
  </si>
  <si>
    <t>Alimento</t>
  </si>
  <si>
    <t>Norte</t>
  </si>
  <si>
    <t>Sul</t>
  </si>
  <si>
    <t>Refrigerante</t>
  </si>
  <si>
    <t>Bebida</t>
  </si>
  <si>
    <t>Sudeste</t>
  </si>
  <si>
    <t>Nordeste</t>
  </si>
  <si>
    <t>Suco</t>
  </si>
  <si>
    <t>1. Quantas vezes “Arroz” aparece?</t>
  </si>
  <si>
    <t>2. Qual o valor total vendido de “Arroz”?</t>
  </si>
  <si>
    <t>3. Quantos produtos pertencem à categoria “Bebida”?</t>
  </si>
  <si>
    <t>4. Qual o total vendido na região “Norte”?</t>
  </si>
  <si>
    <t>5. Crie um gráfico de pizza para as categorias.</t>
  </si>
  <si>
    <t>6. Crie um gráfico de colunas para comparar as regiões.</t>
  </si>
  <si>
    <t>7. Explique qual gráfico facilita melhor a interpretação dos dados.</t>
  </si>
  <si>
    <t>Coluna, pois da para ver todos os cados certinhos.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</si>
</sst>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2" fillId="0" borderId="0" xfId="0" applyFont="1" applyAlignment="1"/>
    <xf numFmtId="0" fontId="0" fillId="0" borderId="0" xfId="0" applyFont="1" applyAlignment="1"/>
    <xf numFmtId="44" fontId="0" fillId="0" borderId="1" xfId="1" applyFont="1" applyBorder="1"/>
    <xf numFmtId="44" fontId="0" fillId="0" borderId="0" xfId="1" applyFont="1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0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'EXERCÍCIO 2'!$B$3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'EXERCÍCIO 2'!$A$4:$A$7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'EXERCÍCIO 2'!$B$4:$B$7</c:f>
              <c:numCache>
                <c:formatCode>General</c:formatCode>
                <c:ptCount val="4"/>
                <c:pt idx="0">
                  <c:v>100</c:v>
                </c:pt>
                <c:pt idx="1">
                  <c:v>150</c:v>
                </c:pt>
                <c:pt idx="2">
                  <c:v>120</c:v>
                </c:pt>
                <c:pt idx="3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6-4DAF-ADE1-09B9C5B15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2580303"/>
        <c:axId val="962576463"/>
        <c:axId val="0"/>
      </c:bar3DChart>
      <c:catAx>
        <c:axId val="96258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576463"/>
        <c:crosses val="autoZero"/>
        <c:auto val="1"/>
        <c:lblAlgn val="ctr"/>
        <c:lblOffset val="100"/>
        <c:noMultiLvlLbl val="0"/>
      </c:catAx>
      <c:valAx>
        <c:axId val="96257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58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'3. CONTROLE DE ESTOQUE'!$C$1</c:f>
              <c:strCache>
                <c:ptCount val="1"/>
                <c:pt idx="0">
                  <c:v>Quantidade Vendida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'3. CONTROLE DE ESTOQUE'!$A$2:$A$9</c:f>
              <c:strCache>
                <c:ptCount val="8"/>
                <c:pt idx="0">
                  <c:v>Caneta</c:v>
                </c:pt>
                <c:pt idx="1">
                  <c:v>Lápis</c:v>
                </c:pt>
                <c:pt idx="2">
                  <c:v>Borracha</c:v>
                </c:pt>
                <c:pt idx="3">
                  <c:v>Caneta</c:v>
                </c:pt>
                <c:pt idx="4">
                  <c:v>Caderno</c:v>
                </c:pt>
                <c:pt idx="5">
                  <c:v>Caneta</c:v>
                </c:pt>
                <c:pt idx="6">
                  <c:v>Régua</c:v>
                </c:pt>
                <c:pt idx="7">
                  <c:v>Lápis</c:v>
                </c:pt>
              </c:strCache>
            </c:strRef>
          </c:cat>
          <c:val>
            <c:numRef>
              <c:f>'3. CONTROLE DE ESTOQUE'!$C$2:$C$9</c:f>
              <c:numCache>
                <c:formatCode>General</c:formatCode>
                <c:ptCount val="8"/>
                <c:pt idx="0">
                  <c:v>15</c:v>
                </c:pt>
                <c:pt idx="1">
                  <c:v>10</c:v>
                </c:pt>
                <c:pt idx="2">
                  <c:v>8</c:v>
                </c:pt>
                <c:pt idx="3">
                  <c:v>12</c:v>
                </c:pt>
                <c:pt idx="4">
                  <c:v>20</c:v>
                </c:pt>
                <c:pt idx="5">
                  <c:v>9</c:v>
                </c:pt>
                <c:pt idx="6">
                  <c:v>5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6-442F-9B34-CECDC2083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2566863"/>
        <c:axId val="962559663"/>
        <c:axId val="0"/>
      </c:bar3DChart>
      <c:catAx>
        <c:axId val="96256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559663"/>
        <c:crosses val="autoZero"/>
        <c:auto val="1"/>
        <c:lblAlgn val="ctr"/>
        <c:lblOffset val="100"/>
        <c:noMultiLvlLbl val="0"/>
      </c:catAx>
      <c:valAx>
        <c:axId val="9625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56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'3. CONTROLE DE ESTOQUE'!$C$1</c:f>
              <c:strCache>
                <c:ptCount val="1"/>
                <c:pt idx="0">
                  <c:v>Quantidade Vendida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'3. CONTROLE DE ESTOQUE'!$A$2:$B$9</c:f>
              <c:multiLvlStrCache>
                <c:ptCount val="8"/>
                <c:lvl>
                  <c:pt idx="0">
                    <c:v>Escrita</c:v>
                  </c:pt>
                  <c:pt idx="1">
                    <c:v>Escrita</c:v>
                  </c:pt>
                  <c:pt idx="2">
                    <c:v>Escolar</c:v>
                  </c:pt>
                  <c:pt idx="3">
                    <c:v>Escrita</c:v>
                  </c:pt>
                  <c:pt idx="4">
                    <c:v>Escolar</c:v>
                  </c:pt>
                  <c:pt idx="5">
                    <c:v>Escrita</c:v>
                  </c:pt>
                  <c:pt idx="6">
                    <c:v>Escolar</c:v>
                  </c:pt>
                  <c:pt idx="7">
                    <c:v>Escrita</c:v>
                  </c:pt>
                </c:lvl>
                <c:lvl>
                  <c:pt idx="0">
                    <c:v>Caneta</c:v>
                  </c:pt>
                  <c:pt idx="1">
                    <c:v>Lápis</c:v>
                  </c:pt>
                  <c:pt idx="2">
                    <c:v>Borracha</c:v>
                  </c:pt>
                  <c:pt idx="3">
                    <c:v>Caneta</c:v>
                  </c:pt>
                  <c:pt idx="4">
                    <c:v>Caderno</c:v>
                  </c:pt>
                  <c:pt idx="5">
                    <c:v>Caneta</c:v>
                  </c:pt>
                  <c:pt idx="6">
                    <c:v>Régua</c:v>
                  </c:pt>
                  <c:pt idx="7">
                    <c:v>Lápis</c:v>
                  </c:pt>
                </c:lvl>
              </c:multiLvlStrCache>
            </c:multiLvlStrRef>
          </c:cat>
          <c:val>
            <c:numRef>
              <c:f>'3. CONTROLE DE ESTOQUE'!$C$2:$C$9</c:f>
              <c:numCache>
                <c:formatCode>General</c:formatCode>
                <c:ptCount val="8"/>
                <c:pt idx="0">
                  <c:v>15</c:v>
                </c:pt>
                <c:pt idx="1">
                  <c:v>10</c:v>
                </c:pt>
                <c:pt idx="2">
                  <c:v>8</c:v>
                </c:pt>
                <c:pt idx="3">
                  <c:v>12</c:v>
                </c:pt>
                <c:pt idx="4">
                  <c:v>20</c:v>
                </c:pt>
                <c:pt idx="5">
                  <c:v>9</c:v>
                </c:pt>
                <c:pt idx="6">
                  <c:v>5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8-45BD-AA3E-BD6F71FB5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'4. CONTROLE DE FUNCIONÁRIOS'!$C$1</c:f>
              <c:strCache>
                <c:ptCount val="1"/>
                <c:pt idx="0">
                  <c:v>Atendimentos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'4. CONTROLE DE FUNCIONÁRIOS'!$B$2:$B$9</c:f>
              <c:strCache>
                <c:ptCount val="8"/>
                <c:pt idx="0">
                  <c:v>Suporte</c:v>
                </c:pt>
                <c:pt idx="1">
                  <c:v>Vendas</c:v>
                </c:pt>
                <c:pt idx="2">
                  <c:v>Suporte</c:v>
                </c:pt>
                <c:pt idx="3">
                  <c:v>Vendas</c:v>
                </c:pt>
                <c:pt idx="4">
                  <c:v>Financeiro</c:v>
                </c:pt>
                <c:pt idx="5">
                  <c:v>Suporte</c:v>
                </c:pt>
                <c:pt idx="6">
                  <c:v>Vendas</c:v>
                </c:pt>
                <c:pt idx="7">
                  <c:v>Suporte</c:v>
                </c:pt>
              </c:strCache>
            </c:strRef>
          </c:cat>
          <c:val>
            <c:numRef>
              <c:f>'4. CONTROLE DE FUNCIONÁRIOS'!$C$2:$C$9</c:f>
              <c:numCache>
                <c:formatCode>General</c:formatCode>
                <c:ptCount val="8"/>
                <c:pt idx="0">
                  <c:v>18</c:v>
                </c:pt>
                <c:pt idx="1">
                  <c:v>25</c:v>
                </c:pt>
                <c:pt idx="2">
                  <c:v>12</c:v>
                </c:pt>
                <c:pt idx="3">
                  <c:v>20</c:v>
                </c:pt>
                <c:pt idx="4">
                  <c:v>10</c:v>
                </c:pt>
                <c:pt idx="5">
                  <c:v>15</c:v>
                </c:pt>
                <c:pt idx="6">
                  <c:v>30</c:v>
                </c:pt>
                <c:pt idx="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E-49F0-B93B-166685843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'5. CONTROLE ESCOLAR'!$C$1</c:f>
              <c:strCache>
                <c:ptCount val="1"/>
                <c:pt idx="0">
                  <c:v>Nota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'5. CONTROLE ESCOLAR'!$A$2:$A$9</c:f>
              <c:strCache>
                <c:ptCount val="8"/>
                <c:pt idx="0">
                  <c:v>Marcos</c:v>
                </c:pt>
                <c:pt idx="1">
                  <c:v>Julia</c:v>
                </c:pt>
                <c:pt idx="2">
                  <c:v>Amanda</c:v>
                </c:pt>
                <c:pt idx="3">
                  <c:v>Lucas</c:v>
                </c:pt>
                <c:pt idx="4">
                  <c:v>Fernanda</c:v>
                </c:pt>
                <c:pt idx="5">
                  <c:v>Pedro</c:v>
                </c:pt>
                <c:pt idx="6">
                  <c:v>Larissa</c:v>
                </c:pt>
                <c:pt idx="7">
                  <c:v>Rafael</c:v>
                </c:pt>
              </c:strCache>
            </c:strRef>
          </c:cat>
          <c:val>
            <c:numRef>
              <c:f>'5. CONTROLE ESCOLAR'!$C$2:$C$9</c:f>
              <c:numCache>
                <c:formatCode>General</c:formatCode>
                <c:ptCount val="8"/>
                <c:pt idx="0">
                  <c:v>8</c:v>
                </c:pt>
                <c:pt idx="1">
                  <c:v>4</c:v>
                </c:pt>
                <c:pt idx="2">
                  <c:v>9</c:v>
                </c:pt>
                <c:pt idx="3">
                  <c:v>5</c:v>
                </c:pt>
                <c:pt idx="4">
                  <c:v>7</c:v>
                </c:pt>
                <c:pt idx="5">
                  <c:v>3</c:v>
                </c:pt>
                <c:pt idx="6">
                  <c:v>10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E-48DD-AFBF-DB7C594CB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2579343"/>
        <c:axId val="962580783"/>
        <c:axId val="0"/>
      </c:bar3DChart>
      <c:catAx>
        <c:axId val="96257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580783"/>
        <c:crosses val="autoZero"/>
        <c:auto val="1"/>
        <c:lblAlgn val="ctr"/>
        <c:lblOffset val="100"/>
        <c:noMultiLvlLbl val="0"/>
      </c:catAx>
      <c:valAx>
        <c:axId val="96258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57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Situação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'5. CONTROLE ESCOLAR'!$C$1</c:f>
              <c:strCache>
                <c:ptCount val="1"/>
                <c:pt idx="0">
                  <c:v>Nota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'5. CONTROLE ESCOLAR'!$A$2:$B$9</c:f>
              <c:multiLvlStrCache>
                <c:ptCount val="8"/>
                <c:lvl>
                  <c:pt idx="0">
                    <c:v>Aprovado</c:v>
                  </c:pt>
                  <c:pt idx="1">
                    <c:v>Reprovado</c:v>
                  </c:pt>
                  <c:pt idx="2">
                    <c:v>Aprovado</c:v>
                  </c:pt>
                  <c:pt idx="3">
                    <c:v>Recuperação</c:v>
                  </c:pt>
                  <c:pt idx="4">
                    <c:v>Aprovado</c:v>
                  </c:pt>
                  <c:pt idx="5">
                    <c:v>Reprovado</c:v>
                  </c:pt>
                  <c:pt idx="6">
                    <c:v>Aprovado</c:v>
                  </c:pt>
                  <c:pt idx="7">
                    <c:v>Recuperação</c:v>
                  </c:pt>
                </c:lvl>
                <c:lvl>
                  <c:pt idx="0">
                    <c:v>Marcos</c:v>
                  </c:pt>
                  <c:pt idx="1">
                    <c:v>Julia</c:v>
                  </c:pt>
                  <c:pt idx="2">
                    <c:v>Amanda</c:v>
                  </c:pt>
                  <c:pt idx="3">
                    <c:v>Lucas</c:v>
                  </c:pt>
                  <c:pt idx="4">
                    <c:v>Fernanda</c:v>
                  </c:pt>
                  <c:pt idx="5">
                    <c:v>Pedro</c:v>
                  </c:pt>
                  <c:pt idx="6">
                    <c:v>Larissa</c:v>
                  </c:pt>
                  <c:pt idx="7">
                    <c:v>Rafael</c:v>
                  </c:pt>
                </c:lvl>
              </c:multiLvlStrCache>
            </c:multiLvlStrRef>
          </c:cat>
          <c:val>
            <c:numRef>
              <c:f>'5. CONTROLE ESCOLAR'!$C$2:$C$9</c:f>
              <c:numCache>
                <c:formatCode>General</c:formatCode>
                <c:ptCount val="8"/>
                <c:pt idx="0">
                  <c:v>8</c:v>
                </c:pt>
                <c:pt idx="1">
                  <c:v>4</c:v>
                </c:pt>
                <c:pt idx="2">
                  <c:v>9</c:v>
                </c:pt>
                <c:pt idx="3">
                  <c:v>5</c:v>
                </c:pt>
                <c:pt idx="4">
                  <c:v>7</c:v>
                </c:pt>
                <c:pt idx="5">
                  <c:v>3</c:v>
                </c:pt>
                <c:pt idx="6">
                  <c:v>10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4-4B6E-B72C-6FCB3DE8C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'6. VENDAS MENSAIS'!$C$1</c:f>
              <c:strCache>
                <c:ptCount val="1"/>
                <c:pt idx="0">
                  <c:v> Valor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'6. VENDAS MENSAIS'!$A$2:$A$9</c:f>
              <c:strCache>
                <c:ptCount val="8"/>
                <c:pt idx="0">
                  <c:v>Celular</c:v>
                </c:pt>
                <c:pt idx="1">
                  <c:v>Notebook</c:v>
                </c:pt>
                <c:pt idx="2">
                  <c:v>Celular</c:v>
                </c:pt>
                <c:pt idx="3">
                  <c:v>Tablet</c:v>
                </c:pt>
                <c:pt idx="4">
                  <c:v>Celular</c:v>
                </c:pt>
                <c:pt idx="5">
                  <c:v>Notebook</c:v>
                </c:pt>
                <c:pt idx="6">
                  <c:v>Tablet</c:v>
                </c:pt>
                <c:pt idx="7">
                  <c:v>Celular</c:v>
                </c:pt>
              </c:strCache>
            </c:strRef>
          </c:cat>
          <c:val>
            <c:numRef>
              <c:f>'6. VENDAS MENSAIS'!$C$2:$C$9</c:f>
              <c:numCache>
                <c:formatCode>_("R$"* #,##0.00_);_("R$"* \(#,##0.00\);_("R$"* "-"??_);_(@_)</c:formatCode>
                <c:ptCount val="8"/>
                <c:pt idx="0">
                  <c:v>1200</c:v>
                </c:pt>
                <c:pt idx="1">
                  <c:v>3500</c:v>
                </c:pt>
                <c:pt idx="2">
                  <c:v>1500</c:v>
                </c:pt>
                <c:pt idx="3">
                  <c:v>900</c:v>
                </c:pt>
                <c:pt idx="4">
                  <c:v>1800</c:v>
                </c:pt>
                <c:pt idx="5">
                  <c:v>4200</c:v>
                </c:pt>
                <c:pt idx="6">
                  <c:v>1100</c:v>
                </c:pt>
                <c:pt idx="7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A-439C-91BD-580FC90E2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2599023"/>
        <c:axId val="962602863"/>
        <c:axId val="0"/>
      </c:bar3DChart>
      <c:catAx>
        <c:axId val="96259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602863"/>
        <c:crosses val="autoZero"/>
        <c:auto val="1"/>
        <c:lblAlgn val="ctr"/>
        <c:lblOffset val="100"/>
        <c:noMultiLvlLbl val="0"/>
      </c:catAx>
      <c:valAx>
        <c:axId val="96260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59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</a:t>
            </a:r>
            <a:r>
              <a:rPr lang="pt-BR" baseline="0"/>
              <a:t> Celular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('6. VENDAS MENSAIS'!$A$2,'6. VENDAS MENSAIS'!$A$4,'6. VENDAS MENSAIS'!$A$6,'6. VENDAS MENSAIS'!$A$9)</c:f>
              <c:strCache>
                <c:ptCount val="4"/>
                <c:pt idx="0">
                  <c:v>Celular</c:v>
                </c:pt>
                <c:pt idx="1">
                  <c:v>Celular</c:v>
                </c:pt>
                <c:pt idx="2">
                  <c:v>Celular</c:v>
                </c:pt>
                <c:pt idx="3">
                  <c:v>Celular</c:v>
                </c:pt>
              </c:strCache>
            </c:strRef>
          </c:cat>
          <c:val>
            <c:numRef>
              <c:f>('6. VENDAS MENSAIS'!$C$2,'6. VENDAS MENSAIS'!$C$4,'6. VENDAS MENSAIS'!$C$6,'6. VENDAS MENSAIS'!$C$9)</c:f>
              <c:numCache>
                <c:formatCode>_("R$"* #,##0.00_);_("R$"* \(#,##0.00\);_("R$"* "-"??_);_(@_)</c:formatCode>
                <c:ptCount val="4"/>
                <c:pt idx="0">
                  <c:v>1200</c:v>
                </c:pt>
                <c:pt idx="1">
                  <c:v>1500</c:v>
                </c:pt>
                <c:pt idx="2">
                  <c:v>1800</c:v>
                </c:pt>
                <c:pt idx="3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83-4DD1-8B8E-53C3622DE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617263"/>
        <c:axId val="962590383"/>
      </c:lineChart>
      <c:catAx>
        <c:axId val="96261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590383"/>
        <c:crosses val="autoZero"/>
        <c:auto val="1"/>
        <c:lblAlgn val="ctr"/>
        <c:lblOffset val="100"/>
        <c:noMultiLvlLbl val="0"/>
      </c:catAx>
      <c:valAx>
        <c:axId val="96259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61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 Categorias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'7. DESAFIO COMPLETO'!$D$1</c:f>
              <c:strCache>
                <c:ptCount val="1"/>
                <c:pt idx="0">
                  <c:v> Valor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'7. DESAFIO COMPLETO'!$B$2:$B$9</c:f>
              <c:strCache>
                <c:ptCount val="8"/>
                <c:pt idx="0">
                  <c:v>Alimento</c:v>
                </c:pt>
                <c:pt idx="1">
                  <c:v>Alimento</c:v>
                </c:pt>
                <c:pt idx="2">
                  <c:v>Bebida</c:v>
                </c:pt>
                <c:pt idx="3">
                  <c:v>Bebida</c:v>
                </c:pt>
                <c:pt idx="4">
                  <c:v>Alimento</c:v>
                </c:pt>
                <c:pt idx="5">
                  <c:v>Bebida</c:v>
                </c:pt>
                <c:pt idx="6">
                  <c:v>Alimento</c:v>
                </c:pt>
                <c:pt idx="7">
                  <c:v>Bebida</c:v>
                </c:pt>
              </c:strCache>
            </c:strRef>
          </c:cat>
          <c:val>
            <c:numRef>
              <c:f>'7. DESAFIO COMPLETO'!$D$2:$D$9</c:f>
              <c:numCache>
                <c:formatCode>_("R$"* #,##0.00_);_("R$"* \(#,##0.00\);_("R$"* "-"??_);_(@_)</c:formatCode>
                <c:ptCount val="8"/>
                <c:pt idx="0">
                  <c:v>100</c:v>
                </c:pt>
                <c:pt idx="1">
                  <c:v>80</c:v>
                </c:pt>
                <c:pt idx="2">
                  <c:v>60</c:v>
                </c:pt>
                <c:pt idx="3">
                  <c:v>120</c:v>
                </c:pt>
                <c:pt idx="4">
                  <c:v>90</c:v>
                </c:pt>
                <c:pt idx="5">
                  <c:v>70</c:v>
                </c:pt>
                <c:pt idx="6">
                  <c:v>110</c:v>
                </c:pt>
                <c:pt idx="7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0-42A9-8389-CB83241CB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 Região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'7. DESAFIO COMPLETO'!$D$1</c:f>
              <c:strCache>
                <c:ptCount val="1"/>
                <c:pt idx="0">
                  <c:v> Valor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'7. DESAFIO COMPLETO'!$C$2:$C$9</c:f>
              <c:strCache>
                <c:ptCount val="8"/>
                <c:pt idx="0">
                  <c:v>Norte</c:v>
                </c:pt>
                <c:pt idx="1">
                  <c:v>Sul</c:v>
                </c:pt>
                <c:pt idx="2">
                  <c:v>Norte</c:v>
                </c:pt>
                <c:pt idx="3">
                  <c:v>Sudeste</c:v>
                </c:pt>
                <c:pt idx="4">
                  <c:v>Nordeste</c:v>
                </c:pt>
                <c:pt idx="5">
                  <c:v>Sul</c:v>
                </c:pt>
                <c:pt idx="6">
                  <c:v>Norte</c:v>
                </c:pt>
                <c:pt idx="7">
                  <c:v>Sudeste</c:v>
                </c:pt>
              </c:strCache>
            </c:strRef>
          </c:cat>
          <c:val>
            <c:numRef>
              <c:f>'7. DESAFIO COMPLETO'!$D$2:$D$9</c:f>
              <c:numCache>
                <c:formatCode>_("R$"* #,##0.00_);_("R$"* \(#,##0.00\);_("R$"* "-"??_);_(@_)</c:formatCode>
                <c:ptCount val="8"/>
                <c:pt idx="0">
                  <c:v>100</c:v>
                </c:pt>
                <c:pt idx="1">
                  <c:v>80</c:v>
                </c:pt>
                <c:pt idx="2">
                  <c:v>60</c:v>
                </c:pt>
                <c:pt idx="3">
                  <c:v>120</c:v>
                </c:pt>
                <c:pt idx="4">
                  <c:v>90</c:v>
                </c:pt>
                <c:pt idx="5">
                  <c:v>70</c:v>
                </c:pt>
                <c:pt idx="6">
                  <c:v>110</c:v>
                </c:pt>
                <c:pt idx="7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1-456F-BD0A-B8BAC626B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2634063"/>
        <c:axId val="962623503"/>
        <c:axId val="0"/>
      </c:bar3DChart>
      <c:catAx>
        <c:axId val="96263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623503"/>
        <c:crosses val="autoZero"/>
        <c:auto val="1"/>
        <c:lblAlgn val="ctr"/>
        <c:lblOffset val="100"/>
        <c:noMultiLvlLbl val="0"/>
      </c:catAx>
      <c:valAx>
        <c:axId val="96262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6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500062</xdr:colOff>
      <xdr:row>1</xdr:row>
      <xdr:rowOff>14287</xdr:rowOff>
    </xdr:from>
    <xdr:to>
      <xdr:col>9</xdr:col>
      <xdr:colOff>300037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082842-4C5C-DDA4-120A-D001708E1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309562</xdr:colOff>
      <xdr:row>6</xdr:row>
      <xdr:rowOff>33337</xdr:rowOff>
    </xdr:from>
    <xdr:to>
      <xdr:col>12</xdr:col>
      <xdr:colOff>219075</xdr:colOff>
      <xdr:row>15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8C1C30-592F-EBAB-DB6F-8C7E6E34B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538161</xdr:colOff>
      <xdr:row>17</xdr:row>
      <xdr:rowOff>14287</xdr:rowOff>
    </xdr:from>
    <xdr:to>
      <xdr:col>8</xdr:col>
      <xdr:colOff>9524</xdr:colOff>
      <xdr:row>27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4FD05E5-9F2A-E47C-597C-782B7004B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</xdr:colOff>
      <xdr:row>16</xdr:row>
      <xdr:rowOff>23812</xdr:rowOff>
    </xdr:from>
    <xdr:to>
      <xdr:col>6</xdr:col>
      <xdr:colOff>104775</xdr:colOff>
      <xdr:row>24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91CB5A-58F3-D832-E39E-9D93B53F6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600076</xdr:colOff>
      <xdr:row>17</xdr:row>
      <xdr:rowOff>9525</xdr:rowOff>
    </xdr:from>
    <xdr:to>
      <xdr:col>14</xdr:col>
      <xdr:colOff>0</xdr:colOff>
      <xdr:row>27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43C724-304B-EF56-DA11-9F35A1E55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17</xdr:row>
      <xdr:rowOff>14287</xdr:rowOff>
    </xdr:from>
    <xdr:to>
      <xdr:col>8</xdr:col>
      <xdr:colOff>9525</xdr:colOff>
      <xdr:row>27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796D3E8-FC77-B9F9-7D2B-EA2737F02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14</xdr:row>
      <xdr:rowOff>185737</xdr:rowOff>
    </xdr:from>
    <xdr:to>
      <xdr:col>11</xdr:col>
      <xdr:colOff>219075</xdr:colOff>
      <xdr:row>26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7F4FBE-32A9-50B1-FB7A-9726E4C24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</xdr:row>
      <xdr:rowOff>133350</xdr:rowOff>
    </xdr:from>
    <xdr:to>
      <xdr:col>12</xdr:col>
      <xdr:colOff>523875</xdr:colOff>
      <xdr:row>13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6092781-FA96-FEDC-88CD-9B88B946D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138112</xdr:rowOff>
    </xdr:from>
    <xdr:to>
      <xdr:col>5</xdr:col>
      <xdr:colOff>666750</xdr:colOff>
      <xdr:row>32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9C33FC-DFBD-D5BE-210C-6CC4F0385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666750</xdr:colOff>
      <xdr:row>19</xdr:row>
      <xdr:rowOff>147637</xdr:rowOff>
    </xdr:from>
    <xdr:to>
      <xdr:col>12</xdr:col>
      <xdr:colOff>438150</xdr:colOff>
      <xdr:row>32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B743FF-18C5-511C-C070-C7DD027D5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1D27-BE3C-4191-B8C7-0DAD4D8DE8EC}">
  <dimension ref="A1:F10"/>
  <sheetViews>
    <sheetView workbookViewId="0">
      <selection activeCell="F9" sqref="F9"/>
    </sheetView>
  </sheetViews>
  <sheetFormatPr defaultRowHeight="15" x14ac:dyDescent="0.25"/>
  <cols>
    <col min="1" max="1" width="10.5703125" bestFit="1" customWidth="1"/>
    <col min="2" max="2" width="11.42578125" bestFit="1" customWidth="1"/>
  </cols>
  <sheetData>
    <row r="1" spans="1:6" x14ac:dyDescent="0.25">
      <c r="A1" s="2" t="s">
        <v>0</v>
      </c>
      <c r="B1" s="2" t="s">
        <v>1</v>
      </c>
    </row>
    <row r="2" spans="1:6" x14ac:dyDescent="0.25">
      <c r="A2" s="3" t="s">
        <v>8</v>
      </c>
      <c r="B2" s="3">
        <v>10</v>
      </c>
    </row>
    <row r="3" spans="1:6" x14ac:dyDescent="0.25">
      <c r="A3" s="3" t="s">
        <v>9</v>
      </c>
      <c r="B3" s="3">
        <v>5</v>
      </c>
    </row>
    <row r="4" spans="1:6" x14ac:dyDescent="0.25">
      <c r="A4" s="3" t="s">
        <v>8</v>
      </c>
      <c r="B4" s="3">
        <v>8</v>
      </c>
    </row>
    <row r="5" spans="1:6" x14ac:dyDescent="0.25">
      <c r="A5" s="3" t="s">
        <v>10</v>
      </c>
      <c r="B5" s="3">
        <v>3</v>
      </c>
    </row>
    <row r="7" spans="1:6" x14ac:dyDescent="0.25">
      <c r="A7" s="6" t="s">
        <v>11</v>
      </c>
      <c r="B7" s="6"/>
      <c r="C7" s="6"/>
      <c r="D7" s="6"/>
      <c r="E7" s="6"/>
      <c r="F7">
        <f>COUNTIF(A2:A5,"Caneta")</f>
        <v>2</v>
      </c>
    </row>
    <row r="8" spans="1:6" x14ac:dyDescent="0.25">
      <c r="A8" s="6" t="s">
        <v>12</v>
      </c>
      <c r="B8" s="6"/>
      <c r="C8" s="6"/>
      <c r="D8" s="6"/>
      <c r="E8" s="6"/>
      <c r="F8">
        <f ca="1">SUMIF(A2:B5,"Caneta",B2:B5)</f>
        <v>18</v>
      </c>
    </row>
    <row r="9" spans="1:6" x14ac:dyDescent="0.25">
      <c r="A9" s="4"/>
      <c r="B9" s="4"/>
    </row>
    <row r="10" spans="1:6" x14ac:dyDescent="0.25">
      <c r="B10" s="5"/>
    </row>
  </sheetData>
  <mergeCells count="3">
    <mergeCell ref="A9:B9"/>
    <mergeCell ref="A7:E7"/>
    <mergeCell ref="A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62DD-C6BE-423F-A3DD-72B68AA96CBB}">
  <dimension ref="A1:D7"/>
  <sheetViews>
    <sheetView workbookViewId="0">
      <selection activeCell="M16" sqref="M16"/>
    </sheetView>
  </sheetViews>
  <sheetFormatPr defaultRowHeight="15" x14ac:dyDescent="0.25"/>
  <cols>
    <col min="1" max="1" width="9.5703125" bestFit="1" customWidth="1"/>
    <col min="2" max="2" width="7.5703125" bestFit="1" customWidth="1"/>
  </cols>
  <sheetData>
    <row r="1" spans="1:4" x14ac:dyDescent="0.25">
      <c r="A1" s="4" t="s">
        <v>19</v>
      </c>
      <c r="B1" s="4"/>
      <c r="C1" s="4"/>
      <c r="D1" s="4"/>
    </row>
    <row r="3" spans="1:4" x14ac:dyDescent="0.25">
      <c r="A3" s="8" t="s">
        <v>13</v>
      </c>
      <c r="B3" s="8" t="s">
        <v>14</v>
      </c>
    </row>
    <row r="4" spans="1:4" x14ac:dyDescent="0.25">
      <c r="A4" s="7" t="s">
        <v>15</v>
      </c>
      <c r="B4" s="7">
        <v>100</v>
      </c>
    </row>
    <row r="5" spans="1:4" x14ac:dyDescent="0.25">
      <c r="A5" s="7" t="s">
        <v>16</v>
      </c>
      <c r="B5" s="7">
        <v>150</v>
      </c>
    </row>
    <row r="6" spans="1:4" x14ac:dyDescent="0.25">
      <c r="A6" s="1" t="s">
        <v>17</v>
      </c>
      <c r="B6" s="1">
        <v>120</v>
      </c>
    </row>
    <row r="7" spans="1:4" x14ac:dyDescent="0.25">
      <c r="A7" s="1" t="s">
        <v>18</v>
      </c>
      <c r="B7" s="1">
        <v>180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1ECB-3CDC-43DD-B7B5-4EC0BA68F59E}">
  <dimension ref="A1:H17"/>
  <sheetViews>
    <sheetView workbookViewId="0">
      <selection activeCell="J25" sqref="J25"/>
    </sheetView>
  </sheetViews>
  <sheetFormatPr defaultRowHeight="15" x14ac:dyDescent="0.25"/>
  <cols>
    <col min="1" max="1" width="8.7109375" bestFit="1" customWidth="1"/>
    <col min="2" max="2" width="9.42578125" bestFit="1" customWidth="1"/>
    <col min="3" max="3" width="19.5703125" bestFit="1" customWidth="1"/>
  </cols>
  <sheetData>
    <row r="1" spans="1:8" x14ac:dyDescent="0.25">
      <c r="A1" s="9" t="s">
        <v>0</v>
      </c>
      <c r="B1" s="9" t="s">
        <v>20</v>
      </c>
      <c r="C1" s="9" t="s">
        <v>21</v>
      </c>
    </row>
    <row r="2" spans="1:8" x14ac:dyDescent="0.25">
      <c r="A2" s="10" t="s">
        <v>8</v>
      </c>
      <c r="B2" s="10" t="s">
        <v>22</v>
      </c>
      <c r="C2" s="10">
        <v>15</v>
      </c>
    </row>
    <row r="3" spans="1:8" x14ac:dyDescent="0.25">
      <c r="A3" s="10" t="s">
        <v>9</v>
      </c>
      <c r="B3" s="10" t="s">
        <v>22</v>
      </c>
      <c r="C3" s="10">
        <v>10</v>
      </c>
    </row>
    <row r="4" spans="1:8" x14ac:dyDescent="0.25">
      <c r="A4" s="10" t="s">
        <v>10</v>
      </c>
      <c r="B4" s="10" t="s">
        <v>23</v>
      </c>
      <c r="C4" s="10">
        <v>8</v>
      </c>
    </row>
    <row r="5" spans="1:8" x14ac:dyDescent="0.25">
      <c r="A5" s="10" t="s">
        <v>8</v>
      </c>
      <c r="B5" s="10" t="s">
        <v>22</v>
      </c>
      <c r="C5" s="10">
        <v>12</v>
      </c>
    </row>
    <row r="6" spans="1:8" x14ac:dyDescent="0.25">
      <c r="A6" s="10" t="s">
        <v>24</v>
      </c>
      <c r="B6" s="10" t="s">
        <v>23</v>
      </c>
      <c r="C6" s="10">
        <v>20</v>
      </c>
    </row>
    <row r="7" spans="1:8" x14ac:dyDescent="0.25">
      <c r="A7" s="10" t="s">
        <v>8</v>
      </c>
      <c r="B7" s="10" t="s">
        <v>22</v>
      </c>
      <c r="C7" s="10">
        <v>9</v>
      </c>
    </row>
    <row r="8" spans="1:8" x14ac:dyDescent="0.25">
      <c r="A8" s="10" t="s">
        <v>25</v>
      </c>
      <c r="B8" s="10" t="s">
        <v>23</v>
      </c>
      <c r="C8" s="10">
        <v>5</v>
      </c>
    </row>
    <row r="9" spans="1:8" x14ac:dyDescent="0.25">
      <c r="A9" s="10" t="s">
        <v>9</v>
      </c>
      <c r="B9" s="10" t="s">
        <v>22</v>
      </c>
      <c r="C9" s="10">
        <v>6</v>
      </c>
    </row>
    <row r="11" spans="1:8" x14ac:dyDescent="0.25">
      <c r="A11" s="11" t="s">
        <v>26</v>
      </c>
      <c r="B11" s="11"/>
      <c r="C11" s="11"/>
      <c r="D11" s="11"/>
      <c r="E11" s="11"/>
      <c r="F11">
        <f>COUNTIF(A2:A9,"Caneta")</f>
        <v>3</v>
      </c>
    </row>
    <row r="12" spans="1:8" x14ac:dyDescent="0.25">
      <c r="A12" s="11" t="s">
        <v>27</v>
      </c>
      <c r="B12" s="11"/>
      <c r="C12" s="11"/>
      <c r="D12" s="11"/>
      <c r="F12">
        <f ca="1">SUMIF(A2:C9,"Caneta",C2:C9)</f>
        <v>36</v>
      </c>
    </row>
    <row r="13" spans="1:8" x14ac:dyDescent="0.25">
      <c r="A13" s="11" t="s">
        <v>28</v>
      </c>
      <c r="B13" s="11"/>
      <c r="C13" s="11"/>
      <c r="D13" s="11"/>
      <c r="F13">
        <f>COUNTIF(B2:B9,"Escolar")</f>
        <v>3</v>
      </c>
    </row>
    <row r="14" spans="1:8" x14ac:dyDescent="0.25">
      <c r="A14" s="11" t="s">
        <v>29</v>
      </c>
      <c r="B14" s="11"/>
      <c r="C14" s="11"/>
      <c r="D14" s="11"/>
      <c r="F14">
        <f ca="1">SUMIF(B2:C9,"Escrita",C2:C9)</f>
        <v>52</v>
      </c>
    </row>
    <row r="15" spans="1:8" x14ac:dyDescent="0.25">
      <c r="A15" s="11" t="s">
        <v>30</v>
      </c>
      <c r="B15" s="11"/>
      <c r="C15" s="11"/>
      <c r="D15" s="11"/>
      <c r="E15" s="11"/>
      <c r="F15" s="11"/>
      <c r="G15" s="11"/>
    </row>
    <row r="16" spans="1:8" x14ac:dyDescent="0.25">
      <c r="A16" s="11" t="s">
        <v>31</v>
      </c>
      <c r="B16" s="11"/>
      <c r="C16" s="11"/>
      <c r="D16" s="11"/>
      <c r="E16" s="11"/>
      <c r="F16" s="11"/>
      <c r="G16" s="11"/>
      <c r="H16" s="11"/>
    </row>
    <row r="17" spans="2:8" x14ac:dyDescent="0.25">
      <c r="B17" s="4" t="s">
        <v>32</v>
      </c>
      <c r="C17" s="4"/>
      <c r="D17" s="4"/>
      <c r="E17" s="4"/>
      <c r="F17" s="4"/>
      <c r="G17" s="4"/>
      <c r="H17" s="4"/>
    </row>
  </sheetData>
  <mergeCells count="7">
    <mergeCell ref="A15:G15"/>
    <mergeCell ref="B17:H17"/>
    <mergeCell ref="A16:H16"/>
    <mergeCell ref="A11:E11"/>
    <mergeCell ref="A12:D12"/>
    <mergeCell ref="A14:D14"/>
    <mergeCell ref="A13:D1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8C36-4600-4CFE-830B-92E9463DF76F}">
  <dimension ref="A1:F16"/>
  <sheetViews>
    <sheetView workbookViewId="0">
      <selection activeCell="G15" sqref="G15"/>
    </sheetView>
  </sheetViews>
  <sheetFormatPr defaultRowHeight="15" x14ac:dyDescent="0.25"/>
  <cols>
    <col min="1" max="1" width="11.42578125" bestFit="1" customWidth="1"/>
    <col min="2" max="2" width="10.28515625" bestFit="1" customWidth="1"/>
    <col min="3" max="3" width="13.85546875" bestFit="1" customWidth="1"/>
  </cols>
  <sheetData>
    <row r="1" spans="1:6" x14ac:dyDescent="0.25">
      <c r="A1" s="9" t="s">
        <v>33</v>
      </c>
      <c r="B1" s="9" t="s">
        <v>34</v>
      </c>
      <c r="C1" s="9" t="s">
        <v>35</v>
      </c>
    </row>
    <row r="2" spans="1:6" x14ac:dyDescent="0.25">
      <c r="A2" s="10" t="s">
        <v>36</v>
      </c>
      <c r="B2" s="10" t="s">
        <v>37</v>
      </c>
      <c r="C2" s="10">
        <v>18</v>
      </c>
    </row>
    <row r="3" spans="1:6" x14ac:dyDescent="0.25">
      <c r="A3" s="10" t="s">
        <v>38</v>
      </c>
      <c r="B3" s="10" t="s">
        <v>14</v>
      </c>
      <c r="C3" s="10">
        <v>25</v>
      </c>
    </row>
    <row r="4" spans="1:6" x14ac:dyDescent="0.25">
      <c r="A4" s="10" t="s">
        <v>39</v>
      </c>
      <c r="B4" s="10" t="s">
        <v>37</v>
      </c>
      <c r="C4" s="10">
        <v>12</v>
      </c>
    </row>
    <row r="5" spans="1:6" x14ac:dyDescent="0.25">
      <c r="A5" s="10" t="s">
        <v>38</v>
      </c>
      <c r="B5" s="10" t="s">
        <v>14</v>
      </c>
      <c r="C5" s="10">
        <v>20</v>
      </c>
    </row>
    <row r="6" spans="1:6" x14ac:dyDescent="0.25">
      <c r="A6" s="10" t="s">
        <v>40</v>
      </c>
      <c r="B6" s="10" t="s">
        <v>41</v>
      </c>
      <c r="C6" s="10">
        <v>10</v>
      </c>
    </row>
    <row r="7" spans="1:6" x14ac:dyDescent="0.25">
      <c r="A7" s="10" t="s">
        <v>36</v>
      </c>
      <c r="B7" s="10" t="s">
        <v>37</v>
      </c>
      <c r="C7" s="10">
        <v>15</v>
      </c>
    </row>
    <row r="8" spans="1:6" x14ac:dyDescent="0.25">
      <c r="A8" s="10" t="s">
        <v>38</v>
      </c>
      <c r="B8" s="10" t="s">
        <v>14</v>
      </c>
      <c r="C8" s="10">
        <v>30</v>
      </c>
    </row>
    <row r="9" spans="1:6" x14ac:dyDescent="0.25">
      <c r="A9" s="10" t="s">
        <v>39</v>
      </c>
      <c r="B9" s="10" t="s">
        <v>37</v>
      </c>
      <c r="C9" s="10">
        <v>14</v>
      </c>
    </row>
    <row r="11" spans="1:6" x14ac:dyDescent="0.25">
      <c r="A11" s="12" t="s">
        <v>42</v>
      </c>
      <c r="B11" s="12"/>
      <c r="C11" s="12"/>
      <c r="D11" s="12"/>
      <c r="E11" s="12"/>
      <c r="F11" s="13">
        <f>COUNTIF(A2:A9,"Ana")</f>
        <v>3</v>
      </c>
    </row>
    <row r="12" spans="1:6" x14ac:dyDescent="0.25">
      <c r="A12" s="11" t="s">
        <v>43</v>
      </c>
      <c r="B12" s="11"/>
      <c r="C12" s="11"/>
      <c r="D12" s="11"/>
      <c r="E12" s="11"/>
      <c r="F12">
        <f ca="1">SUMIF(A2:C9,"Carlos",C2:C9)</f>
        <v>33</v>
      </c>
    </row>
    <row r="13" spans="1:6" x14ac:dyDescent="0.25">
      <c r="A13" s="11" t="s">
        <v>44</v>
      </c>
      <c r="B13" s="11"/>
      <c r="C13" s="11"/>
      <c r="D13" s="11"/>
      <c r="E13" s="11"/>
      <c r="F13">
        <f>COUNTIF(B2:C9,"Suporte")</f>
        <v>4</v>
      </c>
    </row>
    <row r="14" spans="1:6" x14ac:dyDescent="0.25">
      <c r="A14" s="11" t="s">
        <v>45</v>
      </c>
      <c r="B14" s="11"/>
      <c r="C14" s="11"/>
      <c r="D14" s="11"/>
      <c r="E14" s="11"/>
      <c r="F14">
        <f ca="1">SUMIF(B2:C9,"Vendas",C2:C9)</f>
        <v>75</v>
      </c>
    </row>
    <row r="15" spans="1:6" x14ac:dyDescent="0.25">
      <c r="A15" s="11" t="s">
        <v>46</v>
      </c>
      <c r="B15" s="11"/>
      <c r="C15" s="11"/>
      <c r="D15" s="11"/>
      <c r="E15" s="11"/>
    </row>
    <row r="16" spans="1:6" x14ac:dyDescent="0.25">
      <c r="A16" s="11" t="s">
        <v>47</v>
      </c>
      <c r="B16" s="11"/>
      <c r="C16" s="11"/>
      <c r="D16" s="11"/>
      <c r="E16" s="11"/>
      <c r="F16" t="s">
        <v>38</v>
      </c>
    </row>
  </sheetData>
  <mergeCells count="6">
    <mergeCell ref="A15:E15"/>
    <mergeCell ref="A16:E16"/>
    <mergeCell ref="A11:E11"/>
    <mergeCell ref="A12:E12"/>
    <mergeCell ref="A13:E13"/>
    <mergeCell ref="A14:E14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2D04-6C21-4F08-A620-AA2B8787A895}">
  <dimension ref="A1:H17"/>
  <sheetViews>
    <sheetView workbookViewId="0">
      <selection activeCell="I8" sqref="I8"/>
    </sheetView>
  </sheetViews>
  <sheetFormatPr defaultRowHeight="15" x14ac:dyDescent="0.25"/>
  <cols>
    <col min="1" max="1" width="9.28515625" bestFit="1" customWidth="1"/>
    <col min="2" max="2" width="12.28515625" bestFit="1" customWidth="1"/>
    <col min="3" max="3" width="5.28515625" bestFit="1" customWidth="1"/>
  </cols>
  <sheetData>
    <row r="1" spans="1:8" x14ac:dyDescent="0.25">
      <c r="A1" s="9" t="s">
        <v>48</v>
      </c>
      <c r="B1" s="9" t="s">
        <v>5</v>
      </c>
      <c r="C1" s="9" t="s">
        <v>49</v>
      </c>
    </row>
    <row r="2" spans="1:8" x14ac:dyDescent="0.25">
      <c r="A2" s="10" t="s">
        <v>50</v>
      </c>
      <c r="B2" s="10" t="s">
        <v>6</v>
      </c>
      <c r="C2" s="10">
        <v>8</v>
      </c>
    </row>
    <row r="3" spans="1:8" x14ac:dyDescent="0.25">
      <c r="A3" s="10" t="s">
        <v>51</v>
      </c>
      <c r="B3" s="10" t="s">
        <v>7</v>
      </c>
      <c r="C3" s="10">
        <v>4</v>
      </c>
    </row>
    <row r="4" spans="1:8" x14ac:dyDescent="0.25">
      <c r="A4" s="10" t="s">
        <v>52</v>
      </c>
      <c r="B4" s="10" t="s">
        <v>6</v>
      </c>
      <c r="C4" s="10">
        <v>9</v>
      </c>
    </row>
    <row r="5" spans="1:8" x14ac:dyDescent="0.25">
      <c r="A5" s="10" t="s">
        <v>53</v>
      </c>
      <c r="B5" s="10" t="s">
        <v>54</v>
      </c>
      <c r="C5" s="10">
        <v>5</v>
      </c>
    </row>
    <row r="6" spans="1:8" x14ac:dyDescent="0.25">
      <c r="A6" s="10" t="s">
        <v>55</v>
      </c>
      <c r="B6" s="10" t="s">
        <v>6</v>
      </c>
      <c r="C6" s="10">
        <v>7</v>
      </c>
    </row>
    <row r="7" spans="1:8" x14ac:dyDescent="0.25">
      <c r="A7" s="10" t="s">
        <v>56</v>
      </c>
      <c r="B7" s="10" t="s">
        <v>7</v>
      </c>
      <c r="C7" s="10">
        <v>3</v>
      </c>
    </row>
    <row r="8" spans="1:8" x14ac:dyDescent="0.25">
      <c r="A8" s="10" t="s">
        <v>57</v>
      </c>
      <c r="B8" s="10" t="s">
        <v>6</v>
      </c>
      <c r="C8" s="10">
        <v>10</v>
      </c>
    </row>
    <row r="9" spans="1:8" x14ac:dyDescent="0.25">
      <c r="A9" s="10" t="s">
        <v>58</v>
      </c>
      <c r="B9" s="10" t="s">
        <v>54</v>
      </c>
      <c r="C9" s="10">
        <v>5</v>
      </c>
    </row>
    <row r="11" spans="1:8" x14ac:dyDescent="0.25">
      <c r="A11" s="11" t="s">
        <v>59</v>
      </c>
      <c r="B11" s="11"/>
      <c r="C11" s="11"/>
      <c r="D11" s="11"/>
      <c r="E11">
        <f>COUNTIF(B2:B9,"Aprovado")</f>
        <v>4</v>
      </c>
    </row>
    <row r="12" spans="1:8" x14ac:dyDescent="0.25">
      <c r="A12" s="11" t="s">
        <v>60</v>
      </c>
      <c r="B12" s="11"/>
      <c r="C12" s="11"/>
      <c r="D12" s="11"/>
      <c r="E12" s="11"/>
      <c r="F12">
        <f>COUNTIF(B2:B9,"Recuperação")</f>
        <v>2</v>
      </c>
    </row>
    <row r="13" spans="1:8" x14ac:dyDescent="0.25">
      <c r="A13" s="11" t="s">
        <v>61</v>
      </c>
      <c r="B13" s="11"/>
      <c r="C13" s="11"/>
      <c r="D13" s="11"/>
      <c r="E13" s="11"/>
      <c r="F13">
        <f ca="1">SUMIF(B2:C9,"Aprovado",C2:C9)</f>
        <v>34</v>
      </c>
    </row>
    <row r="14" spans="1:8" x14ac:dyDescent="0.25">
      <c r="A14" s="11" t="s">
        <v>62</v>
      </c>
      <c r="B14" s="11"/>
      <c r="C14" s="11"/>
      <c r="D14" s="11"/>
      <c r="E14" s="11"/>
      <c r="F14" s="11"/>
      <c r="G14" s="11"/>
    </row>
    <row r="15" spans="1:8" x14ac:dyDescent="0.25">
      <c r="A15" s="11" t="s">
        <v>63</v>
      </c>
      <c r="B15" s="11"/>
      <c r="C15" s="11"/>
      <c r="D15" s="11"/>
      <c r="E15" s="11"/>
      <c r="F15" s="11"/>
    </row>
    <row r="16" spans="1:8" x14ac:dyDescent="0.25">
      <c r="A16" s="11" t="s">
        <v>64</v>
      </c>
      <c r="B16" s="11"/>
      <c r="C16" s="11"/>
      <c r="D16" s="11"/>
      <c r="E16" s="11"/>
      <c r="F16" s="11"/>
      <c r="G16" s="11"/>
      <c r="H16" s="11"/>
    </row>
    <row r="17" spans="2:8" x14ac:dyDescent="0.25">
      <c r="B17" s="4" t="s">
        <v>65</v>
      </c>
      <c r="C17" s="4"/>
      <c r="D17" s="4"/>
      <c r="E17" s="4"/>
      <c r="F17" s="4"/>
      <c r="G17" s="4"/>
      <c r="H17" s="4"/>
    </row>
  </sheetData>
  <mergeCells count="7">
    <mergeCell ref="B17:H17"/>
    <mergeCell ref="A16:H16"/>
    <mergeCell ref="A15:F15"/>
    <mergeCell ref="A14:G14"/>
    <mergeCell ref="A13:E13"/>
    <mergeCell ref="A12:E12"/>
    <mergeCell ref="A11:D1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EEE9-E6A7-4D65-BE51-06B2925D31FA}">
  <dimension ref="A1:H16"/>
  <sheetViews>
    <sheetView workbookViewId="0">
      <selection activeCell="C2" activeCellId="7" sqref="A2 A4 A9 A6 C9 C6 C4 C2"/>
    </sheetView>
  </sheetViews>
  <sheetFormatPr defaultRowHeight="15" x14ac:dyDescent="0.25"/>
  <cols>
    <col min="1" max="1" width="9.85546875" bestFit="1" customWidth="1"/>
    <col min="2" max="2" width="9.5703125" bestFit="1" customWidth="1"/>
    <col min="3" max="3" width="12.140625" style="15" bestFit="1" customWidth="1"/>
    <col min="4" max="4" width="11.140625" customWidth="1"/>
    <col min="5" max="5" width="12.140625" bestFit="1" customWidth="1"/>
  </cols>
  <sheetData>
    <row r="1" spans="1:8" x14ac:dyDescent="0.25">
      <c r="A1" s="18" t="s">
        <v>0</v>
      </c>
      <c r="B1" s="18" t="s">
        <v>13</v>
      </c>
      <c r="C1" s="19" t="s">
        <v>66</v>
      </c>
    </row>
    <row r="2" spans="1:8" x14ac:dyDescent="0.25">
      <c r="A2" s="10" t="s">
        <v>67</v>
      </c>
      <c r="B2" s="10" t="s">
        <v>15</v>
      </c>
      <c r="C2" s="14">
        <v>1200</v>
      </c>
    </row>
    <row r="3" spans="1:8" x14ac:dyDescent="0.25">
      <c r="A3" s="10" t="s">
        <v>68</v>
      </c>
      <c r="B3" s="10" t="s">
        <v>15</v>
      </c>
      <c r="C3" s="14">
        <v>3500</v>
      </c>
    </row>
    <row r="4" spans="1:8" x14ac:dyDescent="0.25">
      <c r="A4" s="10" t="s">
        <v>67</v>
      </c>
      <c r="B4" s="10" t="s">
        <v>16</v>
      </c>
      <c r="C4" s="14">
        <v>1500</v>
      </c>
    </row>
    <row r="5" spans="1:8" x14ac:dyDescent="0.25">
      <c r="A5" s="10" t="s">
        <v>69</v>
      </c>
      <c r="B5" s="10" t="s">
        <v>16</v>
      </c>
      <c r="C5" s="14">
        <v>900</v>
      </c>
    </row>
    <row r="6" spans="1:8" x14ac:dyDescent="0.25">
      <c r="A6" s="10" t="s">
        <v>67</v>
      </c>
      <c r="B6" s="10" t="s">
        <v>17</v>
      </c>
      <c r="C6" s="14">
        <v>1800</v>
      </c>
    </row>
    <row r="7" spans="1:8" x14ac:dyDescent="0.25">
      <c r="A7" s="10" t="s">
        <v>68</v>
      </c>
      <c r="B7" s="10" t="s">
        <v>17</v>
      </c>
      <c r="C7" s="14">
        <v>4200</v>
      </c>
    </row>
    <row r="8" spans="1:8" x14ac:dyDescent="0.25">
      <c r="A8" s="10" t="s">
        <v>69</v>
      </c>
      <c r="B8" s="10" t="s">
        <v>17</v>
      </c>
      <c r="C8" s="14">
        <v>1100</v>
      </c>
    </row>
    <row r="9" spans="1:8" x14ac:dyDescent="0.25">
      <c r="A9" s="10" t="s">
        <v>67</v>
      </c>
      <c r="B9" s="10" t="s">
        <v>18</v>
      </c>
      <c r="C9" s="14">
        <v>2000</v>
      </c>
    </row>
    <row r="11" spans="1:8" x14ac:dyDescent="0.25">
      <c r="A11" s="11" t="s">
        <v>70</v>
      </c>
      <c r="B11" s="11"/>
      <c r="C11" s="11"/>
      <c r="D11" s="11"/>
      <c r="E11">
        <f>COUNTIF(A2:A9,"Celular")</f>
        <v>4</v>
      </c>
    </row>
    <row r="12" spans="1:8" x14ac:dyDescent="0.25">
      <c r="A12" s="11" t="s">
        <v>71</v>
      </c>
      <c r="B12" s="11"/>
      <c r="C12" s="11"/>
      <c r="D12" s="11"/>
      <c r="E12" s="15">
        <f ca="1">SUMIF(A2:C9,"Celular",C2:C9)</f>
        <v>6500</v>
      </c>
    </row>
    <row r="13" spans="1:8" x14ac:dyDescent="0.25">
      <c r="A13" s="11" t="s">
        <v>72</v>
      </c>
      <c r="B13" s="11"/>
      <c r="C13" s="11"/>
      <c r="D13" s="11"/>
      <c r="E13" s="15">
        <f ca="1">SUMIF(B2:C9,"Janeiro",C2:C9)</f>
        <v>4700</v>
      </c>
    </row>
    <row r="14" spans="1:8" x14ac:dyDescent="0.25">
      <c r="A14" s="11" t="s">
        <v>73</v>
      </c>
      <c r="B14" s="11"/>
      <c r="C14" s="11"/>
      <c r="D14" s="11"/>
      <c r="E14" s="11"/>
      <c r="F14" s="11"/>
      <c r="G14" s="11"/>
      <c r="H14" s="11"/>
    </row>
    <row r="15" spans="1:8" x14ac:dyDescent="0.25">
      <c r="A15" s="11" t="s">
        <v>74</v>
      </c>
      <c r="B15" s="11"/>
      <c r="C15" s="11"/>
      <c r="D15" s="11"/>
      <c r="E15" s="11"/>
    </row>
    <row r="16" spans="1:8" x14ac:dyDescent="0.25">
      <c r="A16" s="11" t="s">
        <v>75</v>
      </c>
      <c r="B16" s="11"/>
      <c r="C16" s="11"/>
      <c r="D16" s="11"/>
      <c r="E16" t="s">
        <v>17</v>
      </c>
    </row>
  </sheetData>
  <mergeCells count="6">
    <mergeCell ref="A16:D16"/>
    <mergeCell ref="A15:E15"/>
    <mergeCell ref="A14:H14"/>
    <mergeCell ref="A13:D13"/>
    <mergeCell ref="A12:D12"/>
    <mergeCell ref="A11:D11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6C3F-F322-4A17-898B-F3943E0AE96C}">
  <dimension ref="A1:F18"/>
  <sheetViews>
    <sheetView tabSelected="1" workbookViewId="0">
      <selection activeCell="B18" sqref="B18:F18"/>
    </sheetView>
  </sheetViews>
  <sheetFormatPr defaultRowHeight="15" x14ac:dyDescent="0.25"/>
  <cols>
    <col min="1" max="1" width="12.140625" bestFit="1" customWidth="1"/>
    <col min="2" max="2" width="9.42578125" bestFit="1" customWidth="1"/>
    <col min="3" max="3" width="9.28515625" bestFit="1" customWidth="1"/>
    <col min="4" max="4" width="10.5703125" style="15" bestFit="1" customWidth="1"/>
    <col min="5" max="6" width="10.5703125" bestFit="1" customWidth="1"/>
  </cols>
  <sheetData>
    <row r="1" spans="1:6" x14ac:dyDescent="0.25">
      <c r="A1" s="16" t="s">
        <v>0</v>
      </c>
      <c r="B1" s="16" t="s">
        <v>20</v>
      </c>
      <c r="C1" s="16" t="s">
        <v>76</v>
      </c>
      <c r="D1" s="17" t="s">
        <v>66</v>
      </c>
    </row>
    <row r="2" spans="1:6" x14ac:dyDescent="0.25">
      <c r="A2" s="10" t="s">
        <v>2</v>
      </c>
      <c r="B2" s="10" t="s">
        <v>77</v>
      </c>
      <c r="C2" s="10" t="s">
        <v>78</v>
      </c>
      <c r="D2" s="14">
        <v>100</v>
      </c>
    </row>
    <row r="3" spans="1:6" x14ac:dyDescent="0.25">
      <c r="A3" s="10" t="s">
        <v>3</v>
      </c>
      <c r="B3" s="10" t="s">
        <v>77</v>
      </c>
      <c r="C3" s="10" t="s">
        <v>79</v>
      </c>
      <c r="D3" s="14">
        <v>80</v>
      </c>
    </row>
    <row r="4" spans="1:6" x14ac:dyDescent="0.25">
      <c r="A4" s="10" t="s">
        <v>80</v>
      </c>
      <c r="B4" s="10" t="s">
        <v>81</v>
      </c>
      <c r="C4" s="10" t="s">
        <v>78</v>
      </c>
      <c r="D4" s="14">
        <v>60</v>
      </c>
    </row>
    <row r="5" spans="1:6" x14ac:dyDescent="0.25">
      <c r="A5" s="10" t="s">
        <v>4</v>
      </c>
      <c r="B5" s="10" t="s">
        <v>81</v>
      </c>
      <c r="C5" s="10" t="s">
        <v>82</v>
      </c>
      <c r="D5" s="14">
        <v>120</v>
      </c>
    </row>
    <row r="6" spans="1:6" x14ac:dyDescent="0.25">
      <c r="A6" s="10" t="s">
        <v>2</v>
      </c>
      <c r="B6" s="10" t="s">
        <v>77</v>
      </c>
      <c r="C6" s="10" t="s">
        <v>83</v>
      </c>
      <c r="D6" s="14">
        <v>90</v>
      </c>
    </row>
    <row r="7" spans="1:6" x14ac:dyDescent="0.25">
      <c r="A7" s="10" t="s">
        <v>84</v>
      </c>
      <c r="B7" s="10" t="s">
        <v>81</v>
      </c>
      <c r="C7" s="10" t="s">
        <v>79</v>
      </c>
      <c r="D7" s="14">
        <v>70</v>
      </c>
    </row>
    <row r="8" spans="1:6" x14ac:dyDescent="0.25">
      <c r="A8" s="10" t="s">
        <v>2</v>
      </c>
      <c r="B8" s="10" t="s">
        <v>77</v>
      </c>
      <c r="C8" s="10" t="s">
        <v>78</v>
      </c>
      <c r="D8" s="14">
        <v>110</v>
      </c>
    </row>
    <row r="9" spans="1:6" x14ac:dyDescent="0.25">
      <c r="A9" s="10" t="s">
        <v>4</v>
      </c>
      <c r="B9" s="10" t="s">
        <v>81</v>
      </c>
      <c r="C9" s="10" t="s">
        <v>82</v>
      </c>
      <c r="D9" s="14">
        <v>130</v>
      </c>
    </row>
    <row r="11" spans="1:6" x14ac:dyDescent="0.25">
      <c r="A11" s="11" t="s">
        <v>85</v>
      </c>
      <c r="B11" s="11"/>
      <c r="C11" s="11"/>
      <c r="D11" s="20">
        <f>COUNTIF(A2:A9,"Arroz")</f>
        <v>3</v>
      </c>
    </row>
    <row r="12" spans="1:6" x14ac:dyDescent="0.25">
      <c r="A12" s="11" t="s">
        <v>86</v>
      </c>
      <c r="B12" s="11"/>
      <c r="C12" s="11"/>
      <c r="D12" s="11"/>
      <c r="E12" s="15">
        <f ca="1">SUMIF(A2:D9,"Arroz",D2:D9)</f>
        <v>300</v>
      </c>
    </row>
    <row r="13" spans="1:6" x14ac:dyDescent="0.25">
      <c r="A13" s="11" t="s">
        <v>87</v>
      </c>
      <c r="B13" s="11"/>
      <c r="C13" s="11"/>
      <c r="D13" s="11"/>
      <c r="E13" s="11"/>
      <c r="F13">
        <f>COUNTIF(A2:B9,"Bebida")</f>
        <v>4</v>
      </c>
    </row>
    <row r="14" spans="1:6" x14ac:dyDescent="0.25">
      <c r="A14" s="11" t="s">
        <v>88</v>
      </c>
      <c r="B14" s="11"/>
      <c r="C14" s="11"/>
      <c r="D14" s="11"/>
      <c r="F14" s="15">
        <f ca="1">SUMIF(C1:D9,"Norte",D2:D9)</f>
        <v>330</v>
      </c>
    </row>
    <row r="15" spans="1:6" x14ac:dyDescent="0.25">
      <c r="A15" s="11" t="s">
        <v>89</v>
      </c>
      <c r="B15" s="11"/>
      <c r="C15" s="11"/>
      <c r="D15" s="11"/>
    </row>
    <row r="16" spans="1:6" x14ac:dyDescent="0.25">
      <c r="A16" s="11" t="s">
        <v>90</v>
      </c>
      <c r="B16" s="11"/>
      <c r="C16" s="11"/>
      <c r="D16" s="11"/>
      <c r="E16" s="11"/>
    </row>
    <row r="17" spans="1:6" x14ac:dyDescent="0.25">
      <c r="A17" s="11" t="s">
        <v>91</v>
      </c>
      <c r="B17" s="11"/>
      <c r="C17" s="11"/>
      <c r="D17" s="11"/>
      <c r="E17" s="11"/>
      <c r="F17" s="11"/>
    </row>
    <row r="18" spans="1:6" x14ac:dyDescent="0.25">
      <c r="B18" s="4" t="s">
        <v>92</v>
      </c>
      <c r="C18" s="4"/>
      <c r="D18" s="4"/>
      <c r="E18" s="4"/>
      <c r="F18" s="4"/>
    </row>
  </sheetData>
  <mergeCells count="8">
    <mergeCell ref="A11:C11"/>
    <mergeCell ref="B18:F18"/>
    <mergeCell ref="A17:F17"/>
    <mergeCell ref="A16:E16"/>
    <mergeCell ref="A15:D15"/>
    <mergeCell ref="A14:D14"/>
    <mergeCell ref="A13:E13"/>
    <mergeCell ref="A12:D1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EXERCÍCIO 1</vt:lpstr>
      <vt:lpstr>EXERCÍCIO 2</vt:lpstr>
      <vt:lpstr>3. CONTROLE DE ESTOQUE</vt:lpstr>
      <vt:lpstr>4. CONTROLE DE FUNCIONÁRIOS</vt:lpstr>
      <vt:lpstr>5. CONTROLE ESCOLAR</vt:lpstr>
      <vt:lpstr>6. VENDAS MENSAIS</vt:lpstr>
      <vt:lpstr>7. DESAFIO 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Ananias Alves</dc:creator>
  <cp:lastModifiedBy>Miguel Ananias Alves</cp:lastModifiedBy>
  <dcterms:created xsi:type="dcterms:W3CDTF">2026-05-18T20:18:43Z</dcterms:created>
  <dcterms:modified xsi:type="dcterms:W3CDTF">2026-05-18T21:27:35Z</dcterms:modified>
</cp:coreProperties>
</file>